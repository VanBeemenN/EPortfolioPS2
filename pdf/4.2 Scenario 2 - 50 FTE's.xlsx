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thomasmore365-my.sharepoint.com/personal/r0882111_student_thomasmore_be/Documents/Academiejaar 4/STAGE - Infosentry/"/>
    </mc:Choice>
  </mc:AlternateContent>
  <xr:revisionPtr revIDLastSave="6" documentId="8_{04D8EFEA-3BD6-4C6E-B7A2-656EA6F31E61}" xr6:coauthVersionLast="47" xr6:coauthVersionMax="47" xr10:uidLastSave="{0101E85B-5034-4266-B777-E004BB6D7B84}"/>
  <bookViews>
    <workbookView xWindow="22932" yWindow="-108" windowWidth="23256" windowHeight="12456" xr2:uid="{C527B78F-749D-4A40-B308-D548616E4AC2}"/>
  </bookViews>
  <sheets>
    <sheet name="Gebruikershandleiding" sheetId="7" r:id="rId1"/>
    <sheet name="TCO" sheetId="1" r:id="rId2"/>
    <sheet name="ROI" sheetId="2" r:id="rId3"/>
    <sheet name="Conclusie" sheetId="9" r:id="rId4"/>
    <sheet name="Auditdagen"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4" i="2" l="1"/>
  <c r="I54" i="2"/>
  <c r="B6" i="9"/>
  <c r="D6" i="9" s="1"/>
  <c r="I64" i="2"/>
  <c r="I59" i="2"/>
  <c r="G7" i="9" s="1"/>
  <c r="A73" i="2"/>
  <c r="A70" i="2"/>
  <c r="E35" i="1"/>
  <c r="E26" i="1"/>
  <c r="E18" i="1"/>
  <c r="E14" i="1"/>
  <c r="I7" i="1"/>
  <c r="A8" i="9" s="1"/>
  <c r="D28" i="1"/>
  <c r="D29" i="1" s="1"/>
  <c r="D20" i="1"/>
  <c r="D21" i="1" s="1"/>
  <c r="C28" i="1"/>
  <c r="C29" i="1" s="1"/>
  <c r="C20" i="1"/>
  <c r="C21" i="1" s="1"/>
  <c r="D30" i="1"/>
  <c r="L22" i="2"/>
  <c r="N37" i="2"/>
  <c r="L37" i="2"/>
  <c r="J37" i="2"/>
  <c r="N36" i="2"/>
  <c r="L36" i="2"/>
  <c r="J36" i="2"/>
  <c r="L29" i="2"/>
  <c r="J29" i="2"/>
  <c r="L28" i="2"/>
  <c r="J28" i="2"/>
  <c r="N22" i="2"/>
  <c r="J22" i="2"/>
  <c r="N21" i="2"/>
  <c r="L21" i="2"/>
  <c r="J21" i="2"/>
  <c r="L15" i="2"/>
  <c r="J15" i="2"/>
  <c r="L14" i="2"/>
  <c r="J14" i="2"/>
  <c r="F37" i="2"/>
  <c r="D37" i="2"/>
  <c r="B37" i="2"/>
  <c r="F36" i="2"/>
  <c r="D36" i="2"/>
  <c r="B36" i="2"/>
  <c r="D29" i="2"/>
  <c r="B29" i="2"/>
  <c r="D28" i="2"/>
  <c r="B28" i="2"/>
  <c r="F22" i="2"/>
  <c r="F21" i="2"/>
  <c r="D22" i="2"/>
  <c r="D21" i="2"/>
  <c r="B22" i="2"/>
  <c r="B21" i="2"/>
  <c r="D15" i="2"/>
  <c r="B15" i="2"/>
  <c r="D14" i="2"/>
  <c r="B14" i="2"/>
  <c r="G6" i="2"/>
  <c r="E37" i="1"/>
  <c r="E36" i="1"/>
  <c r="E15" i="1"/>
  <c r="D22" i="1"/>
  <c r="O37" i="2"/>
  <c r="O22" i="2"/>
  <c r="G37" i="2"/>
  <c r="G22" i="2"/>
  <c r="M37" i="2"/>
  <c r="M29" i="2"/>
  <c r="M22" i="2"/>
  <c r="M15" i="2"/>
  <c r="E37" i="2"/>
  <c r="E29" i="2"/>
  <c r="E22" i="2"/>
  <c r="E15" i="2"/>
  <c r="K37" i="2"/>
  <c r="K29" i="2"/>
  <c r="K22" i="2"/>
  <c r="K15" i="2"/>
  <c r="C37" i="2"/>
  <c r="C29" i="2"/>
  <c r="C22" i="2"/>
  <c r="C15" i="2"/>
  <c r="C30" i="1"/>
  <c r="C22" i="1"/>
  <c r="O36" i="2"/>
  <c r="M36" i="2"/>
  <c r="K36" i="2"/>
  <c r="M28" i="2"/>
  <c r="K28" i="2"/>
  <c r="O21" i="2"/>
  <c r="M21" i="2"/>
  <c r="K21" i="2"/>
  <c r="M14" i="2"/>
  <c r="K14" i="2"/>
  <c r="G36" i="2"/>
  <c r="G21" i="2"/>
  <c r="E36" i="2"/>
  <c r="E28" i="2"/>
  <c r="E21" i="2"/>
  <c r="C21" i="2"/>
  <c r="E14" i="2"/>
  <c r="C28" i="2"/>
  <c r="G5" i="2"/>
  <c r="C36" i="2"/>
  <c r="C14" i="2"/>
  <c r="L5" i="1"/>
  <c r="J6" i="1" s="1"/>
  <c r="L6" i="1" s="1"/>
  <c r="J45" i="2" s="1"/>
  <c r="B7" i="9" l="1"/>
  <c r="D7" i="9"/>
  <c r="L23" i="2"/>
  <c r="L43" i="2"/>
  <c r="N23" i="2"/>
  <c r="J30" i="2"/>
  <c r="J38" i="2"/>
  <c r="L38" i="2"/>
  <c r="J23" i="2"/>
  <c r="N43" i="2"/>
  <c r="F23" i="2"/>
  <c r="L30" i="2"/>
  <c r="J43" i="2"/>
  <c r="N38" i="2"/>
  <c r="J16" i="2"/>
  <c r="L16" i="2"/>
  <c r="F38" i="2"/>
  <c r="D38" i="2"/>
  <c r="D43" i="2"/>
  <c r="B23" i="2"/>
  <c r="F43" i="2"/>
  <c r="D30" i="2"/>
  <c r="B43" i="2"/>
  <c r="D16" i="2"/>
  <c r="B38" i="2"/>
  <c r="B30" i="2"/>
  <c r="D23" i="2"/>
  <c r="B16" i="2"/>
  <c r="M23" i="2"/>
  <c r="O23" i="2"/>
  <c r="G23" i="2"/>
  <c r="K23" i="2"/>
  <c r="K38" i="2"/>
  <c r="E23" i="2"/>
  <c r="K30" i="2"/>
  <c r="D23" i="1"/>
  <c r="O38" i="2"/>
  <c r="G38" i="2"/>
  <c r="M38" i="2"/>
  <c r="M30" i="2"/>
  <c r="M16" i="2"/>
  <c r="E38" i="2"/>
  <c r="E30" i="2"/>
  <c r="E16" i="2"/>
  <c r="K16" i="2"/>
  <c r="C38" i="2"/>
  <c r="C30" i="2"/>
  <c r="C23" i="2"/>
  <c r="C16" i="2"/>
  <c r="D31" i="1"/>
  <c r="C31" i="1"/>
  <c r="C23" i="1"/>
  <c r="J7" i="1"/>
  <c r="M43" i="2"/>
  <c r="O43" i="2"/>
  <c r="E43" i="2"/>
  <c r="C43" i="2"/>
  <c r="G43" i="2"/>
  <c r="K43" i="2"/>
  <c r="L7" i="1" l="1"/>
  <c r="D8" i="9" s="1"/>
  <c r="B8" i="9"/>
  <c r="K49" i="2"/>
  <c r="K52" i="2"/>
  <c r="C52" i="2"/>
  <c r="C49" i="2"/>
  <c r="L11" i="1"/>
  <c r="D12" i="9" s="1"/>
  <c r="G8" i="1"/>
  <c r="L10" i="1"/>
  <c r="D11" i="9" s="1"/>
  <c r="G7" i="1"/>
  <c r="E31" i="1"/>
  <c r="N42" i="2"/>
  <c r="J42" i="2"/>
  <c r="M49" i="2"/>
  <c r="D68" i="2" s="1"/>
  <c r="M52" i="2"/>
  <c r="D69" i="2" s="1"/>
  <c r="E52" i="2"/>
  <c r="C69" i="2" s="1"/>
  <c r="F42" i="2"/>
  <c r="L42" i="2"/>
  <c r="E49" i="2"/>
  <c r="C68" i="2" s="1"/>
  <c r="B42" i="2"/>
  <c r="D42" i="2"/>
  <c r="C42" i="2"/>
  <c r="E23" i="1"/>
  <c r="O42" i="2"/>
  <c r="G42" i="2"/>
  <c r="K42" i="2"/>
  <c r="E42" i="2"/>
  <c r="M42" i="2"/>
  <c r="G6" i="1" l="1"/>
  <c r="L9" i="1" s="1"/>
  <c r="D10" i="9" s="1"/>
  <c r="K48" i="2"/>
  <c r="D60" i="2" s="1"/>
  <c r="K51" i="2"/>
  <c r="C51" i="2"/>
  <c r="C61" i="2" s="1"/>
  <c r="C48" i="2"/>
  <c r="C60" i="2" s="1"/>
  <c r="M48" i="2"/>
  <c r="M51" i="2"/>
  <c r="E48" i="2"/>
  <c r="G68" i="2"/>
  <c r="G69" i="2"/>
  <c r="E51" i="2"/>
  <c r="D61" i="2" l="1"/>
  <c r="G60" i="2"/>
  <c r="B54" i="2"/>
  <c r="J54" i="2"/>
  <c r="G70" i="2"/>
  <c r="G3" i="2"/>
  <c r="G61" i="2" l="1"/>
  <c r="G65" i="2" l="1"/>
  <c r="G64" i="2"/>
  <c r="A64" i="2" s="1"/>
  <c r="G73" i="2"/>
  <c r="G76" i="2"/>
  <c r="C78" i="2" s="1"/>
  <c r="J63" i="2"/>
  <c r="H10" i="9" s="1"/>
  <c r="G10" i="9" s="1"/>
  <c r="J64" i="2" l="1"/>
  <c r="H11" i="9" s="1"/>
  <c r="G11" i="9" s="1"/>
  <c r="A65" i="2"/>
  <c r="J59" i="2"/>
  <c r="H7" i="9" s="1"/>
  <c r="H8" i="9"/>
  <c r="J60" i="2"/>
</calcChain>
</file>

<file path=xl/sharedStrings.xml><?xml version="1.0" encoding="utf-8"?>
<sst xmlns="http://schemas.openxmlformats.org/spreadsheetml/2006/main" count="207" uniqueCount="125">
  <si>
    <t>Relevante kosten</t>
  </si>
  <si>
    <t>Licentiekosten</t>
  </si>
  <si>
    <t>Bedrag</t>
  </si>
  <si>
    <t>Frequentie</t>
  </si>
  <si>
    <t>Gebruiksduur</t>
  </si>
  <si>
    <t>Jaren</t>
  </si>
  <si>
    <t>Jaarlijks</t>
  </si>
  <si>
    <t>Eénmalig</t>
  </si>
  <si>
    <t>TCO</t>
  </si>
  <si>
    <t>Break even point</t>
  </si>
  <si>
    <t>Andere éénmalige kosten</t>
  </si>
  <si>
    <t>Andere jaarlijkse kosten</t>
  </si>
  <si>
    <t>Total Cost of Ownership</t>
  </si>
  <si>
    <t>Gebruiksduur in jaren</t>
  </si>
  <si>
    <t>TCO NA KORTING</t>
  </si>
  <si>
    <t xml:space="preserve">Return On Investment </t>
  </si>
  <si>
    <t xml:space="preserve">     - TOTAAL aantal uren</t>
  </si>
  <si>
    <t xml:space="preserve">     -  Werkuren per dag</t>
  </si>
  <si>
    <t xml:space="preserve">     -  Aantal dagen</t>
  </si>
  <si>
    <t xml:space="preserve">      -  Aantal dagen</t>
  </si>
  <si>
    <t xml:space="preserve">      -  Werkuren per dag</t>
  </si>
  <si>
    <t>Audit voorbereiding met ACT</t>
  </si>
  <si>
    <t xml:space="preserve">      - TOTAAL aantal uren</t>
  </si>
  <si>
    <t xml:space="preserve">OVERZICHT </t>
  </si>
  <si>
    <t xml:space="preserve">Inspanning interne werknemer </t>
  </si>
  <si>
    <t xml:space="preserve">    -  Werkuren per dag</t>
  </si>
  <si>
    <t xml:space="preserve">    -  Aantal dagen</t>
  </si>
  <si>
    <t xml:space="preserve">    -  TOTAAL aantal uren</t>
  </si>
  <si>
    <t xml:space="preserve">    -  Bruto uurloon</t>
  </si>
  <si>
    <t>Bruto kosten interne werknemer</t>
  </si>
  <si>
    <t>Inspanning externe consultant</t>
  </si>
  <si>
    <t xml:space="preserve">    - TOTAAL aantal uren</t>
  </si>
  <si>
    <t xml:space="preserve">Bruto kosten externe consultant </t>
  </si>
  <si>
    <t>Interne audit ZONDER ACT</t>
  </si>
  <si>
    <t>RESERVE voor onverwachte kosten</t>
  </si>
  <si>
    <t>OVERZICHT</t>
  </si>
  <si>
    <t xml:space="preserve">    - Bruto uurloon </t>
  </si>
  <si>
    <t>ACT = Automated Compliance Tool</t>
  </si>
  <si>
    <t>Welkom!</t>
  </si>
  <si>
    <t>Interne werknemer</t>
  </si>
  <si>
    <t xml:space="preserve">Externe consultant </t>
  </si>
  <si>
    <t xml:space="preserve">Auditor </t>
  </si>
  <si>
    <t>Voorbereiding interne audit zonder ACT</t>
  </si>
  <si>
    <t>Audit voorbereiding zonder ACT</t>
  </si>
  <si>
    <t>Bruto kosten interne audit zonder ACT</t>
  </si>
  <si>
    <t>Voorbereiding externe audit zonder ACT</t>
  </si>
  <si>
    <t>Externe audit zonder ACT</t>
  </si>
  <si>
    <t>Bruto kosten externe audit zonder ACT</t>
  </si>
  <si>
    <t>TOTAAL AUDIT KOSTEN zonder ACT</t>
  </si>
  <si>
    <t>Voorbereiding interne audit met ACT</t>
  </si>
  <si>
    <t>Interne audit met ACT</t>
  </si>
  <si>
    <t>Bruto kosten interne audit met ACT</t>
  </si>
  <si>
    <t>Voorbereiding externe audit met ACT</t>
  </si>
  <si>
    <t>Externe audit met ACT</t>
  </si>
  <si>
    <t>Bruto kosten externe audit met ACT</t>
  </si>
  <si>
    <t>TOTAAL AUDIT KOSTEN met ACT</t>
  </si>
  <si>
    <t xml:space="preserve">Deze Excel-sheet is ontwikkeld om een realistisch beeld te geven van het gebruik en de impact van geautomatiseerde compliance tools binnen een organisatie. Het doel is om, samen met Infosentry en eventueel in aanwezigheid van de klant, tot een goed onderbouwde inschatting te komen van de kosten en inspanningen op korte en lange termijn.
</t>
  </si>
  <si>
    <t>TOTAAL AUDIT UREN zonder ACT</t>
  </si>
  <si>
    <t>TOTAAL AUDIT UREN met ACT</t>
  </si>
  <si>
    <t xml:space="preserve">     - Bruto uurloon</t>
  </si>
  <si>
    <t xml:space="preserve">      - Bruto uurloon</t>
  </si>
  <si>
    <t>Uren</t>
  </si>
  <si>
    <t>ROI</t>
  </si>
  <si>
    <t>De investering is terugbetaald na</t>
  </si>
  <si>
    <t>Certificeringskosten ZONDER ACT</t>
  </si>
  <si>
    <t>KORTING op licentiekosten</t>
  </si>
  <si>
    <t>Korting per jaar</t>
  </si>
  <si>
    <t>Vaste uurlonen</t>
  </si>
  <si>
    <t xml:space="preserve">Interne werknemer </t>
  </si>
  <si>
    <t xml:space="preserve">BUILD - 1ste jaar </t>
  </si>
  <si>
    <t xml:space="preserve">RUN - volgende jaren </t>
  </si>
  <si>
    <t>Bedrag in eerste jaar</t>
  </si>
  <si>
    <t>Jaarlijks volgende kosten</t>
  </si>
  <si>
    <t xml:space="preserve">CONCLUSIE </t>
  </si>
  <si>
    <t>Bedrag eerste jaar</t>
  </si>
  <si>
    <t>BUILD</t>
  </si>
  <si>
    <t>RUN</t>
  </si>
  <si>
    <t>Externe consultant</t>
  </si>
  <si>
    <t>Uren BUILD</t>
  </si>
  <si>
    <t>Uren RUN</t>
  </si>
  <si>
    <t xml:space="preserve">Externe consulant </t>
  </si>
  <si>
    <t>Auditor</t>
  </si>
  <si>
    <t>Auditkosten BUILD</t>
  </si>
  <si>
    <t>Auditkosten RUN</t>
  </si>
  <si>
    <t>Zonder ACT</t>
  </si>
  <si>
    <t>MET ACT</t>
  </si>
  <si>
    <t>Audit uren per jaar BUILD</t>
  </si>
  <si>
    <t>Audit uren per jaar RUN</t>
  </si>
  <si>
    <t xml:space="preserve">Certificeringskosten MET ACT </t>
  </si>
  <si>
    <t>Stap 2: uurlonen vastleggen</t>
  </si>
  <si>
    <t>Stap 3: licentiekosten invullen</t>
  </si>
  <si>
    <t>Totaal personeelskosten BUILD</t>
  </si>
  <si>
    <t>Totaal personeelskosten RUN</t>
  </si>
  <si>
    <t>Jaarlijks kosten volgende jaren</t>
  </si>
  <si>
    <t>Excl. Auditorkosten</t>
  </si>
  <si>
    <t>Incl. Auditorkosten</t>
  </si>
  <si>
    <t>Jaarlijkse licentiekost</t>
  </si>
  <si>
    <t>Overige jaren - RUN</t>
  </si>
  <si>
    <t>Tabblad TCO</t>
  </si>
  <si>
    <t>Uitbesparing per jaar</t>
  </si>
  <si>
    <t>De investering is terugverdiend na 
Hierna is de investering enkel maar kostenbesparend.</t>
  </si>
  <si>
    <t>Uitbesparing of kost</t>
  </si>
  <si>
    <t xml:space="preserve">Stap 4: EVENTUELE onverwachte kosten kunnen hier ingegeven worden, zowel jaarlijkse als eenmalige. </t>
  </si>
  <si>
    <t>Stap 5: Kosten en uren bepalen van jaarlijks certificeringsproces ZONDER ACT</t>
  </si>
  <si>
    <t>Stap 6: Kosten en uren bepalen van jaarlijks certificeringsproces MET ACT</t>
  </si>
  <si>
    <t>Tablad ROI</t>
  </si>
  <si>
    <t xml:space="preserve">Opgelet, er wordt een onderscheid gemaakt tussen de BUILD fase en RUN fase. De BUILD fase staat voor de periode waarin het certificeringsproces de eerste keer wordt opgestart, de volledige voorbereiding. Hiervoor rekenen we 1 jaar, het eerste jaar. Wanneer het volledige proces een eerste keer is doorlopen schakelen we over naar de RUN fase. Dit zijn alle certificeringsjaren die volgen. Het is logisch dat in het eerste jaar de werkdruk hoog is maar deze neemt af in de RUN jaren. </t>
  </si>
  <si>
    <t xml:space="preserve">Wanneer de beide tabellen volledig ingevuld zijn weten we ook de TCO. De TCO wordt berekend op basis van de licentiekosten, gebruiksduur en personeelskosten. De personeelskosten worden overgenomen uit de tabel van stap 5. Hier hebben we een realistische situatie geschetst met de inspanningen van de verschillende profielen doorheen het proces. Deze inschatting gebruiken we om de TCO te berekenen. </t>
  </si>
  <si>
    <t>Conclusie - aankopen van Automated Compliance Tool</t>
  </si>
  <si>
    <t>Stap 7: Korting op licentiekosten</t>
  </si>
  <si>
    <t>Tablad Conclusie</t>
  </si>
  <si>
    <t xml:space="preserve">Tip:  In het werkblad 'Auditdagen' kan u een tabel terugvinden met de geschatte auditdagen naar gelang de grootte van het bedrijf, dit kan u helpen bij het invullen om een realistische situatie te bekomen. </t>
  </si>
  <si>
    <r>
      <rPr>
        <b/>
        <sz val="12"/>
        <color rgb="FF81C9AD"/>
        <rFont val="Aptos Narrow"/>
        <family val="2"/>
        <scheme val="minor"/>
      </rPr>
      <t>Stap 3:</t>
    </r>
    <r>
      <rPr>
        <sz val="12"/>
        <color theme="1"/>
        <rFont val="Aptos Narrow"/>
        <family val="2"/>
        <scheme val="minor"/>
      </rPr>
      <t xml:space="preserve"> Vul hier de effectieve jaarlijkse licentiekosten in om de tool te gebruiken. </t>
    </r>
  </si>
  <si>
    <r>
      <rPr>
        <b/>
        <sz val="12"/>
        <color rgb="FF81C9AD"/>
        <rFont val="Aptos Narrow"/>
        <family val="2"/>
        <scheme val="minor"/>
      </rPr>
      <t>(Stap 4):</t>
    </r>
    <r>
      <rPr>
        <sz val="12"/>
        <color theme="1"/>
        <rFont val="Aptos Narrow"/>
        <family val="2"/>
        <scheme val="minor"/>
      </rPr>
      <t xml:space="preserve"> Hier heb je de mogelijkheid om </t>
    </r>
    <r>
      <rPr>
        <b/>
        <sz val="12"/>
        <color theme="1"/>
        <rFont val="Aptos Narrow"/>
        <family val="2"/>
        <scheme val="minor"/>
      </rPr>
      <t>eventueel</t>
    </r>
    <r>
      <rPr>
        <sz val="12"/>
        <color theme="1"/>
        <rFont val="Aptos Narrow"/>
        <family val="2"/>
        <scheme val="minor"/>
      </rPr>
      <t xml:space="preserve"> nog andere kosten door te rekenen. Deze kosten kunnen op jaarbasis of eenmalig aangerekend worden.</t>
    </r>
  </si>
  <si>
    <r>
      <rPr>
        <b/>
        <sz val="12"/>
        <color rgb="FF81C9AD"/>
        <rFont val="Aptos Narrow"/>
        <family val="2"/>
        <scheme val="minor"/>
      </rPr>
      <t>Stap 5:</t>
    </r>
    <r>
      <rPr>
        <sz val="12"/>
        <color theme="1"/>
        <rFont val="Aptos Narrow"/>
        <family val="2"/>
        <scheme val="minor"/>
      </rPr>
      <t xml:space="preserve"> Hier schat je in hoeveel tijd de BUILD fase inneemt alsook de RUN fase zonder het gebruik van een automated compliance tool. Bepaal het aantal werkuren dat nodig zijn in beide fases voor zowel de interne medewerker in de organisatie, als de externe consultant alsook de auditor. </t>
    </r>
  </si>
  <si>
    <r>
      <rPr>
        <b/>
        <sz val="12"/>
        <color rgb="FF81C9AD"/>
        <rFont val="Aptos Narrow"/>
        <family val="2"/>
        <scheme val="minor"/>
      </rPr>
      <t>Stap 7:</t>
    </r>
    <r>
      <rPr>
        <sz val="12"/>
        <color theme="1"/>
        <rFont val="Aptos Narrow"/>
        <family val="2"/>
        <scheme val="minor"/>
      </rPr>
      <t xml:space="preserve"> Tot slot is er hier nog een mogelijkheid voorzien tot korting. Deze korting is enkel van toepassing op de licentiekosten en kan ingevuld worden in werkblad TCO onder Korting. Hierdoor veranderen natuurlijk alle cijfers en komen we uit op een nieuwe TCO, ROI en break-even point. </t>
    </r>
  </si>
  <si>
    <t>Kosten excl. Auditorkosten</t>
  </si>
  <si>
    <t>Totaal personeelskosten BUILD incl. licentiekosten</t>
  </si>
  <si>
    <t>Totaal personeelskosten RUN incl. licentiekosten</t>
  </si>
  <si>
    <t>Stap 1: verwachte gebruiksduur van de tool, standaard 5 jaar</t>
  </si>
  <si>
    <r>
      <t xml:space="preserve">Praktisch: vul enkel de getallen in die vet en schuingedrukt staan, zoals </t>
    </r>
    <r>
      <rPr>
        <b/>
        <i/>
        <sz val="11"/>
        <color theme="1"/>
        <rFont val="Aptos Narrow"/>
        <family val="2"/>
        <scheme val="minor"/>
      </rPr>
      <t>105</t>
    </r>
    <r>
      <rPr>
        <sz val="11"/>
        <color theme="1"/>
        <rFont val="Aptos Narrow"/>
        <family val="2"/>
        <scheme val="minor"/>
      </rPr>
      <t xml:space="preserve">. De overige getallen worden automatisch berekend. </t>
    </r>
  </si>
  <si>
    <r>
      <rPr>
        <b/>
        <sz val="12"/>
        <color rgb="FF81C9AD"/>
        <rFont val="Aptos Narrow"/>
        <family val="2"/>
        <scheme val="minor"/>
      </rPr>
      <t>Stap 1:</t>
    </r>
    <r>
      <rPr>
        <sz val="12"/>
        <color theme="1"/>
        <rFont val="Aptos Narrow"/>
        <family val="2"/>
        <scheme val="minor"/>
      </rPr>
      <t xml:space="preserve"> Schat in hoelang je verwacht de tool te gebruiken, standaard staat dit op 3 jaar maar dit kan aangepast worden naargelang de wensen. Ook later in het proces kan dit steeds aangepast worden om een beter beeld te krijgen.</t>
    </r>
  </si>
  <si>
    <r>
      <rPr>
        <b/>
        <sz val="12"/>
        <color rgb="FF81C9AD"/>
        <rFont val="Aptos Narrow"/>
        <family val="2"/>
        <scheme val="minor"/>
      </rPr>
      <t xml:space="preserve">Stap 2: </t>
    </r>
    <r>
      <rPr>
        <sz val="12"/>
        <color theme="1"/>
        <rFont val="Aptos Narrow"/>
        <family val="2"/>
        <scheme val="minor"/>
      </rPr>
      <t>Leg de uurlonen vast van de interne medewerker in de organisatie die compliance op zich neemt, het uurloon van de externe consultant die wordt ingehuurd als ondersteuning en tot slot het uurloon van de aangestelde auditor die de externe audit gaat uitvoeren.</t>
    </r>
  </si>
  <si>
    <r>
      <rPr>
        <b/>
        <sz val="12"/>
        <color rgb="FF81C9AD"/>
        <rFont val="Aptos Narrow"/>
        <family val="2"/>
        <scheme val="minor"/>
      </rPr>
      <t>Stap 6:</t>
    </r>
    <r>
      <rPr>
        <sz val="12"/>
        <color theme="1"/>
        <rFont val="Aptos Narrow"/>
        <family val="2"/>
        <scheme val="minor"/>
      </rPr>
      <t xml:space="preserve"> Ook hier doen we hetzelfde als in stap 5. Alleen kijken we het proces nu vanuit een perspectief waarbij we WEL een automated compliance tool gebruiken. Schat ook hier in hoe lang het BUILD proces duurt en vervolgens de RUN.</t>
    </r>
  </si>
  <si>
    <t>In Conclusie komt alles samen, hier wordt weergegeven wat de TCO over een bepaalde gebruiksperiode is. Hoe snel de organisatie deze investering heeft terugveriend, het break-even point. En hoeveel ze uitsparen per jaar en over de volledige gebruiksduur. Op basis van deze cijfers kan een overwogen beslissing genomen worden.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</si>
</sst>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quot;€&quot;\ #,##0.00"/>
    <numFmt numFmtId="165" formatCode="#,##0_ ;\-#,##0\ "/>
  </numFmts>
  <fonts count="18"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
      <sz val="18"/>
      <color theme="5" tint="-0.249977111117893"/>
      <name val="Aptos Narrow"/>
      <family val="2"/>
      <scheme val="minor"/>
    </font>
    <font>
      <sz val="24"/>
      <color theme="5" tint="-0.249977111117893"/>
      <name val="Aptos Narrow"/>
      <family val="2"/>
      <scheme val="minor"/>
    </font>
    <font>
      <sz val="12"/>
      <color theme="1"/>
      <name val="Aptos Narrow"/>
      <family val="2"/>
      <scheme val="minor"/>
    </font>
    <font>
      <sz val="12"/>
      <color theme="0"/>
      <name val="Aptos Narrow"/>
      <family val="2"/>
      <scheme val="minor"/>
    </font>
    <font>
      <b/>
      <i/>
      <sz val="11"/>
      <color theme="1"/>
      <name val="Aptos Narrow"/>
      <family val="2"/>
      <scheme val="minor"/>
    </font>
    <font>
      <sz val="24"/>
      <color rgb="FF81C9AD"/>
      <name val="Aptos Narrow"/>
      <family val="2"/>
      <scheme val="minor"/>
    </font>
    <font>
      <sz val="12"/>
      <color rgb="FFB8DFCF"/>
      <name val="Aptos Narrow"/>
      <family val="2"/>
      <scheme val="minor"/>
    </font>
    <font>
      <b/>
      <sz val="14"/>
      <color rgb="FF81C9AD"/>
      <name val="Aptos Narrow"/>
      <family val="2"/>
      <scheme val="minor"/>
    </font>
    <font>
      <sz val="18"/>
      <color rgb="FF81C9AD"/>
      <name val="Aptos Narrow"/>
      <family val="2"/>
      <scheme val="minor"/>
    </font>
    <font>
      <sz val="12"/>
      <color rgb="FF81C9AD"/>
      <name val="Aptos Narrow"/>
      <family val="2"/>
      <scheme val="minor"/>
    </font>
    <font>
      <b/>
      <i/>
      <sz val="12"/>
      <color theme="0"/>
      <name val="Aptos Narrow"/>
      <family val="2"/>
      <scheme val="minor"/>
    </font>
    <font>
      <b/>
      <sz val="12"/>
      <color theme="1"/>
      <name val="Aptos Narrow"/>
      <family val="2"/>
      <scheme val="minor"/>
    </font>
    <font>
      <sz val="14"/>
      <color theme="1"/>
      <name val="Aptos Narrow"/>
      <family val="2"/>
      <scheme val="minor"/>
    </font>
    <font>
      <b/>
      <sz val="12"/>
      <color rgb="FF81C9AD"/>
      <name val="Aptos Narrow"/>
      <family val="2"/>
      <scheme val="minor"/>
    </font>
  </fonts>
  <fills count="10">
    <fill>
      <patternFill patternType="none"/>
    </fill>
    <fill>
      <patternFill patternType="gray125"/>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rgb="FFB8DFCF"/>
        <bgColor indexed="64"/>
      </patternFill>
    </fill>
    <fill>
      <patternFill patternType="solid">
        <fgColor rgb="FF81C9AD"/>
        <bgColor indexed="64"/>
      </patternFill>
    </fill>
    <fill>
      <patternFill patternType="solid">
        <fgColor rgb="FFDFF1EA"/>
        <bgColor indexed="64"/>
      </patternFill>
    </fill>
    <fill>
      <patternFill patternType="solid">
        <fgColor rgb="FFAADAC8"/>
        <bgColor indexed="64"/>
      </patternFill>
    </fill>
  </fills>
  <borders count="15">
    <border>
      <left/>
      <right/>
      <top/>
      <bottom/>
      <diagonal/>
    </border>
    <border>
      <left style="medium">
        <color rgb="FF81C9AD"/>
      </left>
      <right/>
      <top style="medium">
        <color rgb="FF81C9AD"/>
      </top>
      <bottom style="medium">
        <color rgb="FF81C9AD"/>
      </bottom>
      <diagonal/>
    </border>
    <border>
      <left/>
      <right/>
      <top style="medium">
        <color rgb="FF81C9AD"/>
      </top>
      <bottom style="medium">
        <color rgb="FF81C9AD"/>
      </bottom>
      <diagonal/>
    </border>
    <border>
      <left/>
      <right style="medium">
        <color rgb="FF81C9AD"/>
      </right>
      <top style="medium">
        <color rgb="FF81C9AD"/>
      </top>
      <bottom style="medium">
        <color rgb="FF81C9AD"/>
      </bottom>
      <diagonal/>
    </border>
    <border>
      <left style="medium">
        <color rgb="FF81C9AD"/>
      </left>
      <right/>
      <top/>
      <bottom/>
      <diagonal/>
    </border>
    <border>
      <left style="medium">
        <color rgb="FF81C9AD"/>
      </left>
      <right/>
      <top style="medium">
        <color rgb="FF81C9AD"/>
      </top>
      <bottom/>
      <diagonal/>
    </border>
    <border>
      <left/>
      <right/>
      <top style="medium">
        <color rgb="FF81C9AD"/>
      </top>
      <bottom/>
      <diagonal/>
    </border>
    <border>
      <left/>
      <right style="medium">
        <color rgb="FF81C9AD"/>
      </right>
      <top style="medium">
        <color rgb="FF81C9AD"/>
      </top>
      <bottom/>
      <diagonal/>
    </border>
    <border>
      <left/>
      <right style="medium">
        <color rgb="FF81C9AD"/>
      </right>
      <top/>
      <bottom/>
      <diagonal/>
    </border>
    <border>
      <left style="medium">
        <color rgb="FF81C9AD"/>
      </left>
      <right/>
      <top/>
      <bottom style="medium">
        <color rgb="FF81C9AD"/>
      </bottom>
      <diagonal/>
    </border>
    <border>
      <left/>
      <right/>
      <top/>
      <bottom style="medium">
        <color rgb="FF81C9AD"/>
      </bottom>
      <diagonal/>
    </border>
    <border>
      <left/>
      <right style="medium">
        <color rgb="FF81C9AD"/>
      </right>
      <top/>
      <bottom style="medium">
        <color rgb="FF81C9AD"/>
      </bottom>
      <diagonal/>
    </border>
    <border>
      <left style="medium">
        <color rgb="FF81C9AD"/>
      </left>
      <right style="medium">
        <color rgb="FF81C9AD"/>
      </right>
      <top style="medium">
        <color rgb="FF81C9AD"/>
      </top>
      <bottom style="medium">
        <color rgb="FF81C9AD"/>
      </bottom>
      <diagonal/>
    </border>
    <border>
      <left style="medium">
        <color rgb="FF81C9AD"/>
      </left>
      <right style="medium">
        <color rgb="FF81C9AD"/>
      </right>
      <top/>
      <bottom/>
      <diagonal/>
    </border>
    <border>
      <left style="medium">
        <color rgb="FF81C9AD"/>
      </left>
      <right style="medium">
        <color rgb="FF81C9AD"/>
      </right>
      <top/>
      <bottom style="medium">
        <color rgb="FF81C9AD"/>
      </bottom>
      <diagonal/>
    </border>
  </borders>
  <cellStyleXfs count="5">
    <xf numFmtId="0" fontId="0" fillId="0" borderId="0"/>
    <xf numFmtId="0" fontId="3"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cellStyleXfs>
  <cellXfs count="130">
    <xf numFmtId="0" fontId="0" fillId="0" borderId="0" xfId="0"/>
    <xf numFmtId="4" fontId="0" fillId="0" borderId="0" xfId="0" applyNumberFormat="1"/>
    <xf numFmtId="0" fontId="4" fillId="0" borderId="0" xfId="0" applyFont="1"/>
    <xf numFmtId="10" fontId="0" fillId="0" borderId="0" xfId="0" applyNumberFormat="1"/>
    <xf numFmtId="0" fontId="2" fillId="0" borderId="0" xfId="0" applyFont="1"/>
    <xf numFmtId="0" fontId="1" fillId="0" borderId="0" xfId="2" applyFill="1"/>
    <xf numFmtId="4" fontId="1" fillId="0" borderId="0" xfId="2" applyNumberFormat="1" applyFill="1"/>
    <xf numFmtId="0" fontId="0" fillId="0" borderId="0" xfId="2" applyFont="1" applyFill="1"/>
    <xf numFmtId="1" fontId="1" fillId="0" borderId="0" xfId="2" applyNumberFormat="1" applyFill="1"/>
    <xf numFmtId="2" fontId="0" fillId="0" borderId="0" xfId="0" applyNumberFormat="1"/>
    <xf numFmtId="1" fontId="0" fillId="0" borderId="0" xfId="0" applyNumberFormat="1"/>
    <xf numFmtId="0" fontId="5" fillId="0" borderId="0" xfId="0" applyFont="1"/>
    <xf numFmtId="0" fontId="6" fillId="0" borderId="0" xfId="0" applyFont="1" applyAlignment="1">
      <alignment vertical="top" wrapText="1"/>
    </xf>
    <xf numFmtId="0" fontId="6" fillId="0" borderId="0" xfId="0" applyFont="1" applyAlignment="1">
      <alignment wrapText="1"/>
    </xf>
    <xf numFmtId="0" fontId="9" fillId="0" borderId="0" xfId="0" applyFont="1"/>
    <xf numFmtId="0" fontId="10" fillId="0" borderId="0" xfId="0" applyFont="1"/>
    <xf numFmtId="0" fontId="11" fillId="0" borderId="0" xfId="0" applyFont="1"/>
    <xf numFmtId="0" fontId="12" fillId="0" borderId="0" xfId="0" applyFont="1"/>
    <xf numFmtId="0" fontId="0" fillId="8" borderId="0" xfId="2" applyFont="1" applyFill="1"/>
    <xf numFmtId="0" fontId="0" fillId="8" borderId="0" xfId="0" applyFill="1"/>
    <xf numFmtId="44" fontId="8" fillId="8" borderId="0" xfId="2" applyNumberFormat="1" applyFont="1" applyFill="1"/>
    <xf numFmtId="44" fontId="8" fillId="8" borderId="0" xfId="0" applyNumberFormat="1" applyFont="1" applyFill="1"/>
    <xf numFmtId="0" fontId="1" fillId="8" borderId="0" xfId="2" applyFill="1"/>
    <xf numFmtId="4" fontId="8" fillId="8" borderId="0" xfId="2" applyNumberFormat="1" applyFont="1" applyFill="1" applyProtection="1">
      <protection locked="0"/>
    </xf>
    <xf numFmtId="4" fontId="1" fillId="8" borderId="0" xfId="2" applyNumberFormat="1" applyFill="1"/>
    <xf numFmtId="0" fontId="1" fillId="8" borderId="0" xfId="3" applyFill="1"/>
    <xf numFmtId="4" fontId="8" fillId="8" borderId="0" xfId="3" applyNumberFormat="1" applyFont="1" applyFill="1" applyProtection="1">
      <protection locked="0"/>
    </xf>
    <xf numFmtId="4" fontId="1" fillId="8" borderId="0" xfId="3" applyNumberFormat="1" applyFill="1"/>
    <xf numFmtId="44" fontId="0" fillId="8" borderId="0" xfId="0" applyNumberFormat="1" applyFill="1"/>
    <xf numFmtId="0" fontId="0" fillId="8" borderId="0" xfId="3" applyFont="1" applyFill="1"/>
    <xf numFmtId="164" fontId="1" fillId="8" borderId="0" xfId="2" applyNumberFormat="1" applyFill="1"/>
    <xf numFmtId="0" fontId="1" fillId="8" borderId="0" xfId="2" applyFill="1" applyBorder="1"/>
    <xf numFmtId="0" fontId="1" fillId="8" borderId="2" xfId="2" applyFill="1" applyBorder="1"/>
    <xf numFmtId="0" fontId="1" fillId="8" borderId="4" xfId="2" applyFill="1" applyBorder="1"/>
    <xf numFmtId="0" fontId="1" fillId="8" borderId="5" xfId="2" applyFill="1" applyBorder="1"/>
    <xf numFmtId="0" fontId="1" fillId="8" borderId="6" xfId="2" applyFill="1" applyBorder="1"/>
    <xf numFmtId="0" fontId="1" fillId="8" borderId="7" xfId="2" applyFill="1" applyBorder="1"/>
    <xf numFmtId="0" fontId="1" fillId="8" borderId="8" xfId="2" applyFill="1" applyBorder="1"/>
    <xf numFmtId="0" fontId="1" fillId="8" borderId="9" xfId="2" applyFill="1" applyBorder="1"/>
    <xf numFmtId="0" fontId="1" fillId="8" borderId="10" xfId="2" applyFill="1" applyBorder="1"/>
    <xf numFmtId="0" fontId="1" fillId="8" borderId="11" xfId="2" applyFill="1" applyBorder="1"/>
    <xf numFmtId="0" fontId="13" fillId="0" borderId="0" xfId="0" applyFont="1"/>
    <xf numFmtId="0" fontId="7" fillId="9" borderId="0" xfId="4" applyFont="1" applyFill="1"/>
    <xf numFmtId="0" fontId="7" fillId="9" borderId="0" xfId="4" applyFont="1" applyFill="1" applyProtection="1">
      <protection locked="0"/>
    </xf>
    <xf numFmtId="0" fontId="7" fillId="9" borderId="0" xfId="1" applyFont="1" applyFill="1"/>
    <xf numFmtId="0" fontId="7" fillId="9" borderId="0" xfId="1" applyFont="1" applyFill="1" applyAlignment="1">
      <alignment horizontal="right"/>
    </xf>
    <xf numFmtId="10" fontId="14" fillId="9" borderId="0" xfId="1" applyNumberFormat="1" applyFont="1" applyFill="1" applyProtection="1">
      <protection locked="0"/>
    </xf>
    <xf numFmtId="164" fontId="1" fillId="7" borderId="0" xfId="2" applyNumberFormat="1" applyFill="1"/>
    <xf numFmtId="0" fontId="0" fillId="7" borderId="0" xfId="0" applyFill="1"/>
    <xf numFmtId="0" fontId="1" fillId="6" borderId="1" xfId="2" applyFill="1" applyBorder="1"/>
    <xf numFmtId="0" fontId="1" fillId="6" borderId="2" xfId="2" applyFill="1" applyBorder="1"/>
    <xf numFmtId="0" fontId="1" fillId="6" borderId="3" xfId="2" applyFill="1" applyBorder="1"/>
    <xf numFmtId="0" fontId="8" fillId="8" borderId="0" xfId="2" applyFont="1" applyFill="1" applyBorder="1"/>
    <xf numFmtId="0" fontId="8" fillId="8" borderId="8" xfId="2" applyFont="1" applyFill="1" applyBorder="1"/>
    <xf numFmtId="0" fontId="0" fillId="7" borderId="0" xfId="2" applyFont="1" applyFill="1"/>
    <xf numFmtId="0" fontId="2" fillId="8" borderId="0" xfId="2" applyFont="1" applyFill="1" applyBorder="1"/>
    <xf numFmtId="44" fontId="0" fillId="0" borderId="0" xfId="0" applyNumberFormat="1"/>
    <xf numFmtId="164" fontId="0" fillId="0" borderId="0" xfId="0" applyNumberFormat="1"/>
    <xf numFmtId="0" fontId="2" fillId="8" borderId="0" xfId="0" applyFont="1" applyFill="1"/>
    <xf numFmtId="0" fontId="7" fillId="9" borderId="9" xfId="1" applyFont="1" applyFill="1" applyBorder="1" applyAlignment="1">
      <alignment horizontal="right"/>
    </xf>
    <xf numFmtId="0" fontId="7" fillId="9" borderId="11" xfId="1" applyFont="1" applyFill="1" applyBorder="1" applyAlignment="1">
      <alignment horizontal="right"/>
    </xf>
    <xf numFmtId="0" fontId="7" fillId="9" borderId="3" xfId="1" applyFont="1" applyFill="1" applyBorder="1" applyAlignment="1">
      <alignment horizontal="right"/>
    </xf>
    <xf numFmtId="0" fontId="8" fillId="8" borderId="4" xfId="2" applyFont="1" applyFill="1" applyBorder="1"/>
    <xf numFmtId="0" fontId="7" fillId="9" borderId="12" xfId="1" applyFont="1" applyFill="1" applyBorder="1" applyAlignment="1">
      <alignment horizontal="right"/>
    </xf>
    <xf numFmtId="0" fontId="0" fillId="0" borderId="10" xfId="0" applyBorder="1"/>
    <xf numFmtId="0" fontId="2" fillId="8" borderId="12" xfId="0" applyFont="1" applyFill="1" applyBorder="1" applyAlignment="1">
      <alignment horizontal="right"/>
    </xf>
    <xf numFmtId="0" fontId="2" fillId="8" borderId="3" xfId="0" applyFont="1" applyFill="1" applyBorder="1" applyAlignment="1">
      <alignment horizontal="right"/>
    </xf>
    <xf numFmtId="0" fontId="2" fillId="8" borderId="11" xfId="0" applyFont="1" applyFill="1" applyBorder="1" applyAlignment="1">
      <alignment horizontal="right"/>
    </xf>
    <xf numFmtId="164" fontId="2" fillId="0" borderId="0" xfId="0" applyNumberFormat="1" applyFont="1"/>
    <xf numFmtId="164" fontId="0" fillId="8" borderId="8" xfId="0" applyNumberFormat="1" applyFill="1" applyBorder="1"/>
    <xf numFmtId="0" fontId="1" fillId="8" borderId="1" xfId="2" applyFill="1" applyBorder="1"/>
    <xf numFmtId="0" fontId="1" fillId="8" borderId="1" xfId="2" applyFill="1" applyBorder="1" applyAlignment="1">
      <alignment wrapText="1"/>
    </xf>
    <xf numFmtId="0" fontId="0" fillId="6" borderId="8" xfId="0" applyFill="1" applyBorder="1"/>
    <xf numFmtId="0" fontId="16" fillId="0" borderId="0" xfId="0" applyFont="1"/>
    <xf numFmtId="0" fontId="0" fillId="8" borderId="0" xfId="2" applyFont="1" applyFill="1" applyProtection="1"/>
    <xf numFmtId="0" fontId="6" fillId="8" borderId="0" xfId="2" applyFont="1" applyFill="1" applyProtection="1"/>
    <xf numFmtId="1" fontId="1" fillId="8" borderId="0" xfId="2" applyNumberFormat="1" applyFill="1" applyProtection="1"/>
    <xf numFmtId="0" fontId="1" fillId="8" borderId="0" xfId="2" applyFill="1" applyProtection="1"/>
    <xf numFmtId="165" fontId="0" fillId="8" borderId="0" xfId="0" applyNumberFormat="1" applyFill="1"/>
    <xf numFmtId="0" fontId="0" fillId="8" borderId="1" xfId="2" applyFont="1" applyFill="1" applyBorder="1" applyProtection="1"/>
    <xf numFmtId="0" fontId="1" fillId="8" borderId="2" xfId="2" applyFill="1" applyBorder="1" applyProtection="1"/>
    <xf numFmtId="4" fontId="1" fillId="8" borderId="2" xfId="2" applyNumberFormat="1" applyFill="1" applyBorder="1" applyProtection="1"/>
    <xf numFmtId="4" fontId="0" fillId="8" borderId="2" xfId="0" applyNumberFormat="1" applyFill="1" applyBorder="1"/>
    <xf numFmtId="4" fontId="0" fillId="8" borderId="3" xfId="0" applyNumberFormat="1" applyFill="1" applyBorder="1"/>
    <xf numFmtId="3" fontId="1" fillId="8" borderId="0" xfId="2" applyNumberFormat="1" applyFill="1" applyProtection="1"/>
    <xf numFmtId="4" fontId="1" fillId="8" borderId="0" xfId="2" applyNumberFormat="1" applyFill="1" applyProtection="1"/>
    <xf numFmtId="44" fontId="1" fillId="8" borderId="0" xfId="2" applyNumberFormat="1" applyFill="1" applyProtection="1"/>
    <xf numFmtId="164" fontId="1" fillId="8" borderId="0" xfId="3" applyNumberFormat="1" applyFill="1" applyProtection="1"/>
    <xf numFmtId="164" fontId="1" fillId="8" borderId="0" xfId="2" applyNumberFormat="1" applyFill="1" applyProtection="1"/>
    <xf numFmtId="164" fontId="1" fillId="7" borderId="0" xfId="2" applyNumberFormat="1" applyFill="1" applyProtection="1"/>
    <xf numFmtId="0" fontId="1" fillId="8" borderId="4" xfId="2" applyFill="1" applyBorder="1" applyProtection="1"/>
    <xf numFmtId="0" fontId="1" fillId="8" borderId="8" xfId="2" applyFill="1" applyBorder="1" applyProtection="1"/>
    <xf numFmtId="0" fontId="1" fillId="8" borderId="0" xfId="2" applyFill="1" applyBorder="1" applyProtection="1"/>
    <xf numFmtId="0" fontId="1" fillId="8" borderId="9" xfId="2" applyFill="1" applyBorder="1" applyProtection="1"/>
    <xf numFmtId="0" fontId="1" fillId="8" borderId="11" xfId="2" applyFill="1" applyBorder="1" applyProtection="1"/>
    <xf numFmtId="0" fontId="1" fillId="8" borderId="10" xfId="2" applyFill="1" applyBorder="1" applyProtection="1"/>
    <xf numFmtId="0" fontId="1" fillId="6" borderId="1" xfId="2" applyFill="1" applyBorder="1" applyProtection="1"/>
    <xf numFmtId="0" fontId="1" fillId="6" borderId="3" xfId="2" applyFill="1" applyBorder="1" applyProtection="1"/>
    <xf numFmtId="0" fontId="1" fillId="6" borderId="2" xfId="2" applyFill="1" applyBorder="1" applyProtection="1"/>
    <xf numFmtId="164" fontId="0" fillId="6" borderId="6" xfId="0" applyNumberFormat="1" applyFill="1" applyBorder="1"/>
    <xf numFmtId="164" fontId="0" fillId="6" borderId="7" xfId="0" applyNumberFormat="1" applyFill="1" applyBorder="1"/>
    <xf numFmtId="164" fontId="0" fillId="6" borderId="5" xfId="0" applyNumberFormat="1" applyFill="1" applyBorder="1"/>
    <xf numFmtId="0" fontId="0" fillId="6" borderId="10" xfId="0" applyFill="1" applyBorder="1"/>
    <xf numFmtId="0" fontId="0" fillId="6" borderId="11" xfId="0" applyFill="1" applyBorder="1"/>
    <xf numFmtId="0" fontId="0" fillId="6" borderId="9" xfId="0" applyFill="1" applyBorder="1"/>
    <xf numFmtId="164" fontId="0" fillId="7" borderId="0" xfId="0" applyNumberFormat="1" applyFill="1"/>
    <xf numFmtId="164" fontId="1" fillId="8" borderId="0" xfId="2" applyNumberFormat="1" applyFill="1" applyBorder="1" applyProtection="1"/>
    <xf numFmtId="164" fontId="1" fillId="8" borderId="3" xfId="2" applyNumberFormat="1" applyFill="1" applyBorder="1" applyProtection="1"/>
    <xf numFmtId="0" fontId="1" fillId="8" borderId="3" xfId="2" applyFill="1" applyBorder="1" applyProtection="1"/>
    <xf numFmtId="10" fontId="1" fillId="8" borderId="3" xfId="2" applyNumberFormat="1" applyFill="1" applyBorder="1" applyProtection="1"/>
    <xf numFmtId="10" fontId="2" fillId="8" borderId="0" xfId="2" applyNumberFormat="1" applyFont="1" applyFill="1" applyBorder="1" applyProtection="1"/>
    <xf numFmtId="0" fontId="2" fillId="8" borderId="0" xfId="2" applyFont="1" applyFill="1" applyBorder="1" applyProtection="1"/>
    <xf numFmtId="164" fontId="2" fillId="8" borderId="0" xfId="2" applyNumberFormat="1" applyFont="1" applyFill="1" applyBorder="1" applyProtection="1"/>
    <xf numFmtId="0" fontId="1" fillId="8" borderId="13" xfId="2" applyFill="1" applyBorder="1" applyProtection="1"/>
    <xf numFmtId="4" fontId="0" fillId="8" borderId="0" xfId="0" applyNumberFormat="1" applyFill="1"/>
    <xf numFmtId="10" fontId="14" fillId="9" borderId="0" xfId="1" applyNumberFormat="1" applyFont="1" applyFill="1" applyProtection="1"/>
    <xf numFmtId="0" fontId="7" fillId="9" borderId="0" xfId="1" applyFont="1" applyFill="1" applyProtection="1"/>
    <xf numFmtId="10" fontId="1" fillId="8" borderId="0" xfId="2" applyNumberFormat="1" applyFill="1" applyBorder="1" applyProtection="1"/>
    <xf numFmtId="0" fontId="10" fillId="0" borderId="0" xfId="0" applyFont="1" applyAlignment="1">
      <alignment vertical="top"/>
    </xf>
    <xf numFmtId="0" fontId="0" fillId="8" borderId="0" xfId="2" applyFont="1" applyFill="1" applyBorder="1"/>
    <xf numFmtId="0" fontId="2" fillId="8" borderId="0" xfId="2" applyFont="1" applyFill="1" applyBorder="1" applyAlignment="1" applyProtection="1">
      <alignment horizontal="right"/>
    </xf>
    <xf numFmtId="4" fontId="1" fillId="8" borderId="3" xfId="2" applyNumberFormat="1" applyFill="1" applyBorder="1" applyProtection="1"/>
    <xf numFmtId="0" fontId="0" fillId="0" borderId="14" xfId="0" applyBorder="1"/>
    <xf numFmtId="0" fontId="7" fillId="9" borderId="2" xfId="1" applyFont="1" applyFill="1" applyBorder="1" applyAlignment="1">
      <alignment horizontal="center"/>
    </xf>
    <xf numFmtId="0" fontId="7" fillId="9" borderId="3" xfId="1" applyFont="1" applyFill="1" applyBorder="1" applyAlignment="1">
      <alignment horizontal="center"/>
    </xf>
    <xf numFmtId="0" fontId="2" fillId="8" borderId="1" xfId="0" applyFont="1" applyFill="1" applyBorder="1" applyAlignment="1">
      <alignment horizontal="center"/>
    </xf>
    <xf numFmtId="0" fontId="2" fillId="8" borderId="3" xfId="0" applyFont="1" applyFill="1" applyBorder="1" applyAlignment="1">
      <alignment horizontal="center"/>
    </xf>
    <xf numFmtId="0" fontId="2" fillId="8" borderId="2" xfId="0" applyFont="1" applyFill="1" applyBorder="1" applyAlignment="1">
      <alignment horizontal="center"/>
    </xf>
    <xf numFmtId="0" fontId="7" fillId="9" borderId="1" xfId="1" applyFont="1" applyFill="1" applyBorder="1" applyAlignment="1">
      <alignment horizontal="center"/>
    </xf>
    <xf numFmtId="0" fontId="2" fillId="8" borderId="0" xfId="0" applyFont="1" applyFill="1" applyAlignment="1">
      <alignment horizontal="center"/>
    </xf>
  </cellXfs>
  <cellStyles count="5">
    <cellStyle name="20% - Accent2" xfId="2" builtinId="34"/>
    <cellStyle name="40% - Accent2" xfId="3" builtinId="35"/>
    <cellStyle name="60% - Accent2" xfId="4" builtinId="36"/>
    <cellStyle name="Accent2" xfId="1" builtinId="33"/>
    <cellStyle name="Standaard" xfId="0" builtinId="0"/>
  </cellStyles>
  <dxfs count="0"/>
  <tableStyles count="0" defaultTableStyle="TableStyleMedium2" defaultPivotStyle="PivotStyleLight16"/>
  <colors>
    <mruColors>
      <color rgb="FF81C9AD"/>
      <color rgb="FFDFF1EA"/>
      <color rgb="FFB8DFCF"/>
      <color rgb="FFAADAC8"/>
      <color rgb="FFD7EDE4"/>
      <color rgb="FF58E3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3514725</xdr:colOff>
      <xdr:row>1</xdr:row>
      <xdr:rowOff>95270</xdr:rowOff>
    </xdr:to>
    <xdr:pic>
      <xdr:nvPicPr>
        <xdr:cNvPr id="3" name="Afbeelding 2" descr="Information security, Privacy en Business Continuity | Infosentry">
          <a:extLst>
            <a:ext uri="{FF2B5EF4-FFF2-40B4-BE49-F238E27FC236}">
              <a16:creationId xmlns:a16="http://schemas.microsoft.com/office/drawing/2014/main" id="{DDE8E0C3-5381-424D-4978-2BA7805F5C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514725" cy="10191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1019175</xdr:colOff>
      <xdr:row>0</xdr:row>
      <xdr:rowOff>133350</xdr:rowOff>
    </xdr:from>
    <xdr:to>
      <xdr:col>16</xdr:col>
      <xdr:colOff>535517</xdr:colOff>
      <xdr:row>5</xdr:row>
      <xdr:rowOff>72410</xdr:rowOff>
    </xdr:to>
    <xdr:pic>
      <xdr:nvPicPr>
        <xdr:cNvPr id="2" name="Afbeelding 1" descr="Information security, Privacy en Business Continuity | Infosentry">
          <a:extLst>
            <a:ext uri="{FF2B5EF4-FFF2-40B4-BE49-F238E27FC236}">
              <a16:creationId xmlns:a16="http://schemas.microsoft.com/office/drawing/2014/main" id="{7AA36A6C-9D4B-40C1-8885-B2F5FBE6D1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73175" y="133350"/>
          <a:ext cx="3514725" cy="10191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438150</xdr:colOff>
      <xdr:row>29</xdr:row>
      <xdr:rowOff>66675</xdr:rowOff>
    </xdr:to>
    <xdr:pic>
      <xdr:nvPicPr>
        <xdr:cNvPr id="2" name="Afbeelding 1">
          <a:extLst>
            <a:ext uri="{FF2B5EF4-FFF2-40B4-BE49-F238E27FC236}">
              <a16:creationId xmlns:a16="http://schemas.microsoft.com/office/drawing/2014/main" id="{B2197103-9D49-507A-9342-4578ABE465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5924550" cy="5591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9CD8A-A4CD-47CC-A174-C4E9D83A7B69}">
  <dimension ref="A1:A25"/>
  <sheetViews>
    <sheetView tabSelected="1" topLeftCell="A12" workbookViewId="0">
      <selection activeCell="A17" sqref="A17"/>
    </sheetView>
  </sheetViews>
  <sheetFormatPr defaultRowHeight="15" x14ac:dyDescent="0.25"/>
  <cols>
    <col min="1" max="1" width="181" customWidth="1"/>
  </cols>
  <sheetData>
    <row r="1" spans="1:1" ht="72.75" customHeight="1" x14ac:dyDescent="0.5">
      <c r="A1" s="11"/>
    </row>
    <row r="2" spans="1:1" ht="57.75" customHeight="1" x14ac:dyDescent="0.5">
      <c r="A2" s="14" t="s">
        <v>38</v>
      </c>
    </row>
    <row r="3" spans="1:1" ht="15.75" x14ac:dyDescent="0.25">
      <c r="A3" s="15" t="s">
        <v>37</v>
      </c>
    </row>
    <row r="4" spans="1:1" ht="47.25" x14ac:dyDescent="0.25">
      <c r="A4" s="12" t="s">
        <v>56</v>
      </c>
    </row>
    <row r="5" spans="1:1" x14ac:dyDescent="0.25">
      <c r="A5" t="s">
        <v>120</v>
      </c>
    </row>
    <row r="6" spans="1:1" ht="31.9" customHeight="1" x14ac:dyDescent="0.3">
      <c r="A6" s="16" t="s">
        <v>98</v>
      </c>
    </row>
    <row r="7" spans="1:1" ht="45" customHeight="1" x14ac:dyDescent="0.25">
      <c r="A7" s="12" t="s">
        <v>121</v>
      </c>
    </row>
    <row r="8" spans="1:1" ht="45" customHeight="1" x14ac:dyDescent="0.25">
      <c r="A8" s="12" t="s">
        <v>122</v>
      </c>
    </row>
    <row r="9" spans="1:1" ht="31.9" customHeight="1" x14ac:dyDescent="0.25">
      <c r="A9" s="12" t="s">
        <v>112</v>
      </c>
    </row>
    <row r="10" spans="1:1" ht="31.9" customHeight="1" x14ac:dyDescent="0.25">
      <c r="A10" s="12" t="s">
        <v>113</v>
      </c>
    </row>
    <row r="11" spans="1:1" ht="48.6" customHeight="1" x14ac:dyDescent="0.3">
      <c r="A11" s="16" t="s">
        <v>105</v>
      </c>
    </row>
    <row r="12" spans="1:1" ht="57.6" customHeight="1" x14ac:dyDescent="0.25">
      <c r="A12" s="12" t="s">
        <v>106</v>
      </c>
    </row>
    <row r="13" spans="1:1" ht="39.6" customHeight="1" x14ac:dyDescent="0.25">
      <c r="A13" s="12" t="s">
        <v>114</v>
      </c>
    </row>
    <row r="14" spans="1:1" ht="31.9" customHeight="1" x14ac:dyDescent="0.25">
      <c r="A14" s="118" t="s">
        <v>111</v>
      </c>
    </row>
    <row r="15" spans="1:1" ht="40.15" customHeight="1" x14ac:dyDescent="0.25">
      <c r="A15" s="12" t="s">
        <v>123</v>
      </c>
    </row>
    <row r="16" spans="1:1" ht="57" customHeight="1" x14ac:dyDescent="0.25">
      <c r="A16" s="12" t="s">
        <v>107</v>
      </c>
    </row>
    <row r="17" spans="1:1" ht="42.6" customHeight="1" x14ac:dyDescent="0.25">
      <c r="A17" s="12" t="s">
        <v>115</v>
      </c>
    </row>
    <row r="19" spans="1:1" ht="18.75" x14ac:dyDescent="0.3">
      <c r="A19" s="16" t="s">
        <v>110</v>
      </c>
    </row>
    <row r="20" spans="1:1" ht="39.6" customHeight="1" x14ac:dyDescent="0.25">
      <c r="A20" s="12" t="s">
        <v>124</v>
      </c>
    </row>
    <row r="21" spans="1:1" ht="18.75" x14ac:dyDescent="0.3">
      <c r="A21" s="16"/>
    </row>
    <row r="22" spans="1:1" ht="26.45" customHeight="1" x14ac:dyDescent="0.25">
      <c r="A22" s="13"/>
    </row>
    <row r="23" spans="1:1" ht="23.45" customHeight="1" x14ac:dyDescent="0.25"/>
    <row r="24" spans="1:1" ht="37.9" customHeight="1" x14ac:dyDescent="0.3">
      <c r="A24" s="16"/>
    </row>
    <row r="25" spans="1:1" ht="15.75" x14ac:dyDescent="0.25">
      <c r="A25" s="1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24DE5-0F43-4B13-A3A6-A6312A915FBF}">
  <dimension ref="A1:O41"/>
  <sheetViews>
    <sheetView zoomScale="79" zoomScaleNormal="100" workbookViewId="0">
      <selection activeCell="A4" sqref="A4"/>
    </sheetView>
  </sheetViews>
  <sheetFormatPr defaultRowHeight="15" x14ac:dyDescent="0.25"/>
  <cols>
    <col min="1" max="1" width="36.42578125" bestFit="1" customWidth="1"/>
    <col min="2" max="2" width="11.140625" bestFit="1" customWidth="1"/>
    <col min="3" max="3" width="19.85546875" customWidth="1"/>
    <col min="4" max="4" width="32" customWidth="1"/>
    <col min="5" max="5" width="20.7109375" customWidth="1"/>
    <col min="6" max="6" width="20.7109375" bestFit="1" customWidth="1"/>
    <col min="7" max="7" width="15.28515625" bestFit="1" customWidth="1"/>
    <col min="9" max="9" width="26.28515625" bestFit="1" customWidth="1"/>
    <col min="10" max="10" width="12.5703125" customWidth="1"/>
    <col min="11" max="11" width="6" customWidth="1"/>
    <col min="12" max="12" width="14.5703125" bestFit="1" customWidth="1"/>
    <col min="13" max="13" width="12.140625" customWidth="1"/>
    <col min="14" max="14" width="14.140625" customWidth="1"/>
  </cols>
  <sheetData>
    <row r="1" spans="1:13" ht="24" x14ac:dyDescent="0.4">
      <c r="A1" s="17" t="s">
        <v>12</v>
      </c>
    </row>
    <row r="3" spans="1:13" x14ac:dyDescent="0.25">
      <c r="A3" t="s">
        <v>119</v>
      </c>
    </row>
    <row r="4" spans="1:13" ht="15.75" x14ac:dyDescent="0.25">
      <c r="A4" s="42" t="s">
        <v>4</v>
      </c>
      <c r="B4" s="43">
        <v>5</v>
      </c>
      <c r="C4" s="42" t="s">
        <v>5</v>
      </c>
      <c r="I4" t="s">
        <v>109</v>
      </c>
    </row>
    <row r="5" spans="1:13" ht="15.75" x14ac:dyDescent="0.25">
      <c r="A5" s="5"/>
      <c r="B5" s="5"/>
      <c r="C5" s="5"/>
      <c r="E5" s="44" t="s">
        <v>35</v>
      </c>
      <c r="F5" s="44"/>
      <c r="G5" s="44" t="s">
        <v>2</v>
      </c>
      <c r="I5" s="44" t="s">
        <v>65</v>
      </c>
      <c r="J5" s="46">
        <v>0.3</v>
      </c>
      <c r="K5" s="44"/>
      <c r="L5" s="44">
        <f>J5</f>
        <v>0.3</v>
      </c>
    </row>
    <row r="6" spans="1:13" x14ac:dyDescent="0.25">
      <c r="A6" s="5" t="s">
        <v>89</v>
      </c>
      <c r="B6" s="5"/>
      <c r="C6" s="5"/>
      <c r="E6" s="18" t="s">
        <v>8</v>
      </c>
      <c r="F6" s="19"/>
      <c r="G6" s="86">
        <f>E15+E36+E37+E23+E31</f>
        <v>345840</v>
      </c>
      <c r="I6" s="29" t="s">
        <v>66</v>
      </c>
      <c r="J6" s="87">
        <f>C15*L5</f>
        <v>5400</v>
      </c>
      <c r="K6" s="19"/>
      <c r="L6" s="87">
        <f>C15-J6</f>
        <v>12600</v>
      </c>
    </row>
    <row r="7" spans="1:13" ht="15.75" x14ac:dyDescent="0.25">
      <c r="A7" s="44" t="s">
        <v>67</v>
      </c>
      <c r="B7" s="44"/>
      <c r="C7" s="44" t="s">
        <v>2</v>
      </c>
      <c r="E7" s="19" t="s">
        <v>71</v>
      </c>
      <c r="F7" s="19"/>
      <c r="G7" s="28">
        <f>C15+C36+C37+C23+C31</f>
        <v>90800</v>
      </c>
      <c r="I7" s="18" t="str">
        <f>"Korting over " &amp; B4 &amp; " jaar"</f>
        <v>Korting over 5 jaar</v>
      </c>
      <c r="J7" s="88">
        <f>E15*L5</f>
        <v>27000</v>
      </c>
      <c r="K7" s="19"/>
      <c r="L7" s="88">
        <f>E15-J7</f>
        <v>63000</v>
      </c>
    </row>
    <row r="8" spans="1:13" x14ac:dyDescent="0.25">
      <c r="A8" s="18" t="s">
        <v>68</v>
      </c>
      <c r="B8" s="19"/>
      <c r="C8" s="20">
        <v>60</v>
      </c>
      <c r="E8" s="19" t="s">
        <v>72</v>
      </c>
      <c r="F8" s="19"/>
      <c r="G8" s="28">
        <f>C15+C37+D23+D31</f>
        <v>63760</v>
      </c>
      <c r="I8" s="18"/>
      <c r="J8" s="30"/>
      <c r="K8" s="19"/>
      <c r="L8" s="88"/>
    </row>
    <row r="9" spans="1:13" x14ac:dyDescent="0.25">
      <c r="A9" s="19" t="s">
        <v>40</v>
      </c>
      <c r="B9" s="19"/>
      <c r="C9" s="21">
        <v>100</v>
      </c>
      <c r="E9" s="19"/>
      <c r="F9" s="19"/>
      <c r="G9" s="28"/>
      <c r="I9" s="54" t="s">
        <v>14</v>
      </c>
      <c r="J9" s="47"/>
      <c r="K9" s="48"/>
      <c r="L9" s="89">
        <f>G6-J7</f>
        <v>318840</v>
      </c>
    </row>
    <row r="10" spans="1:13" x14ac:dyDescent="0.25">
      <c r="A10" s="19" t="s">
        <v>41</v>
      </c>
      <c r="B10" s="19"/>
      <c r="C10" s="21">
        <v>188</v>
      </c>
      <c r="G10" s="56"/>
      <c r="I10" s="54" t="s">
        <v>74</v>
      </c>
      <c r="J10" s="47"/>
      <c r="K10" s="48"/>
      <c r="L10" s="89">
        <f>L6+C36+C37+C23+C31</f>
        <v>85400</v>
      </c>
      <c r="M10" s="57"/>
    </row>
    <row r="11" spans="1:13" x14ac:dyDescent="0.25">
      <c r="I11" s="54" t="s">
        <v>93</v>
      </c>
      <c r="J11" s="47"/>
      <c r="K11" s="48"/>
      <c r="L11" s="89">
        <f>L6+C37+D23+D31</f>
        <v>58360</v>
      </c>
      <c r="M11" s="57"/>
    </row>
    <row r="12" spans="1:13" x14ac:dyDescent="0.25">
      <c r="L12" s="57"/>
    </row>
    <row r="13" spans="1:13" x14ac:dyDescent="0.25">
      <c r="A13" t="s">
        <v>90</v>
      </c>
    </row>
    <row r="14" spans="1:13" ht="15.75" x14ac:dyDescent="0.25">
      <c r="A14" s="44" t="s">
        <v>0</v>
      </c>
      <c r="B14" s="44"/>
      <c r="C14" s="44" t="s">
        <v>2</v>
      </c>
      <c r="D14" s="44" t="s">
        <v>3</v>
      </c>
      <c r="E14" s="44" t="str">
        <f>"Kost over " &amp; B4 &amp; " jaar"</f>
        <v>Kost over 5 jaar</v>
      </c>
      <c r="G14" s="56"/>
    </row>
    <row r="15" spans="1:13" x14ac:dyDescent="0.25">
      <c r="A15" s="22" t="s">
        <v>1</v>
      </c>
      <c r="B15" s="22"/>
      <c r="C15" s="23">
        <v>18000</v>
      </c>
      <c r="D15" s="22" t="s">
        <v>6</v>
      </c>
      <c r="E15" s="85">
        <f>C15*B4</f>
        <v>90000</v>
      </c>
    </row>
    <row r="18" spans="1:15" ht="15.75" x14ac:dyDescent="0.25">
      <c r="A18" s="44" t="s">
        <v>24</v>
      </c>
      <c r="B18" s="44"/>
      <c r="C18" s="45" t="s">
        <v>69</v>
      </c>
      <c r="D18" s="45" t="s">
        <v>70</v>
      </c>
      <c r="E18" s="45" t="str">
        <f>"Kost over " &amp; B4 &amp; " jaar"</f>
        <v>Kost over 5 jaar</v>
      </c>
    </row>
    <row r="19" spans="1:15" ht="15.75" x14ac:dyDescent="0.25">
      <c r="A19" s="74" t="s">
        <v>25</v>
      </c>
      <c r="B19" s="75"/>
      <c r="C19" s="76">
        <v>8</v>
      </c>
      <c r="D19" s="19">
        <v>8</v>
      </c>
      <c r="E19" s="19"/>
      <c r="L19" s="1"/>
      <c r="O19" s="1"/>
    </row>
    <row r="20" spans="1:15" ht="15.75" customHeight="1" x14ac:dyDescent="0.25">
      <c r="A20" s="74" t="s">
        <v>26</v>
      </c>
      <c r="B20" s="77"/>
      <c r="C20" s="76">
        <f>ROI!J13+ROI!J20+ROI!J27+ROI!J35</f>
        <v>60</v>
      </c>
      <c r="D20" s="19">
        <f>ROI!K13+ROI!K20+ROI!K27+ROI!K35</f>
        <v>47</v>
      </c>
      <c r="E20" s="19"/>
      <c r="L20" s="1"/>
    </row>
    <row r="21" spans="1:15" ht="16.149999999999999" customHeight="1" x14ac:dyDescent="0.25">
      <c r="A21" s="74" t="s">
        <v>27</v>
      </c>
      <c r="B21" s="77"/>
      <c r="C21" s="76">
        <f>C19*C20</f>
        <v>480</v>
      </c>
      <c r="D21" s="19">
        <f>D19*D20</f>
        <v>376</v>
      </c>
      <c r="E21" s="19"/>
    </row>
    <row r="22" spans="1:15" ht="15.75" thickBot="1" x14ac:dyDescent="0.3">
      <c r="A22" s="74" t="s">
        <v>28</v>
      </c>
      <c r="B22" s="77"/>
      <c r="C22" s="78">
        <f>C8</f>
        <v>60</v>
      </c>
      <c r="D22" s="78">
        <f>C8</f>
        <v>60</v>
      </c>
      <c r="E22" s="19"/>
    </row>
    <row r="23" spans="1:15" ht="15.75" thickBot="1" x14ac:dyDescent="0.3">
      <c r="A23" s="79" t="s">
        <v>29</v>
      </c>
      <c r="B23" s="80"/>
      <c r="C23" s="81">
        <f>C22*C21</f>
        <v>28800</v>
      </c>
      <c r="D23" s="82">
        <f>D21*D22</f>
        <v>22560</v>
      </c>
      <c r="E23" s="83">
        <f>C23+(D23*(B4-1))</f>
        <v>119040</v>
      </c>
      <c r="F23" s="1"/>
    </row>
    <row r="25" spans="1:15" x14ac:dyDescent="0.25">
      <c r="A25" s="7"/>
      <c r="B25" s="5"/>
      <c r="C25" s="8"/>
      <c r="D25" s="5"/>
      <c r="E25" s="10"/>
      <c r="F25" s="9"/>
      <c r="H25" s="9"/>
    </row>
    <row r="26" spans="1:15" ht="15.75" x14ac:dyDescent="0.25">
      <c r="A26" s="44" t="s">
        <v>30</v>
      </c>
      <c r="B26" s="44"/>
      <c r="C26" s="45" t="s">
        <v>69</v>
      </c>
      <c r="D26" s="45" t="s">
        <v>70</v>
      </c>
      <c r="E26" s="45" t="str">
        <f>"Kost over " &amp; B4 &amp; " jaar"</f>
        <v>Kost over 5 jaar</v>
      </c>
    </row>
    <row r="27" spans="1:15" ht="16.5" customHeight="1" x14ac:dyDescent="0.25">
      <c r="A27" s="74" t="s">
        <v>25</v>
      </c>
      <c r="B27" s="77"/>
      <c r="C27" s="76">
        <v>8</v>
      </c>
      <c r="D27" s="19">
        <v>8</v>
      </c>
      <c r="E27" s="19"/>
    </row>
    <row r="28" spans="1:15" ht="15" customHeight="1" x14ac:dyDescent="0.25">
      <c r="A28" s="74" t="s">
        <v>26</v>
      </c>
      <c r="B28" s="77"/>
      <c r="C28" s="76">
        <f>ROI!L13+ROI!L20+ROI!L27+ROI!L35</f>
        <v>55</v>
      </c>
      <c r="D28" s="19">
        <f>ROI!M13+ROI!M20+ROI!M27+ROI!M35</f>
        <v>29</v>
      </c>
      <c r="E28" s="19"/>
    </row>
    <row r="29" spans="1:15" x14ac:dyDescent="0.25">
      <c r="A29" s="74" t="s">
        <v>31</v>
      </c>
      <c r="B29" s="77"/>
      <c r="C29" s="76">
        <f>C27*C28</f>
        <v>440</v>
      </c>
      <c r="D29" s="84">
        <f>D27*D28</f>
        <v>232</v>
      </c>
      <c r="E29" s="19"/>
    </row>
    <row r="30" spans="1:15" ht="15.75" thickBot="1" x14ac:dyDescent="0.3">
      <c r="A30" s="74" t="s">
        <v>36</v>
      </c>
      <c r="B30" s="77"/>
      <c r="C30" s="78">
        <f>C9</f>
        <v>100</v>
      </c>
      <c r="D30" s="78">
        <f>C9</f>
        <v>100</v>
      </c>
      <c r="E30" s="19"/>
    </row>
    <row r="31" spans="1:15" ht="15.75" thickBot="1" x14ac:dyDescent="0.3">
      <c r="A31" s="79" t="s">
        <v>32</v>
      </c>
      <c r="B31" s="80"/>
      <c r="C31" s="81">
        <f>C30*C29</f>
        <v>44000</v>
      </c>
      <c r="D31" s="81">
        <f>D29*D30</f>
        <v>23200</v>
      </c>
      <c r="E31" s="83">
        <f>C31+(D31*(B4-1))</f>
        <v>136800</v>
      </c>
    </row>
    <row r="34" spans="1:8" x14ac:dyDescent="0.25">
      <c r="A34" s="7" t="s">
        <v>102</v>
      </c>
      <c r="B34" s="5"/>
      <c r="C34" s="8"/>
      <c r="D34" s="5"/>
      <c r="E34" s="6"/>
    </row>
    <row r="35" spans="1:8" ht="15.75" x14ac:dyDescent="0.25">
      <c r="A35" s="44" t="s">
        <v>34</v>
      </c>
      <c r="B35" s="44"/>
      <c r="C35" s="45" t="s">
        <v>2</v>
      </c>
      <c r="D35" s="45" t="s">
        <v>3</v>
      </c>
      <c r="E35" s="45" t="str">
        <f>"Kost over " &amp; B4 &amp; " jaar"</f>
        <v>Kost over 5 jaar</v>
      </c>
      <c r="F35" s="9"/>
      <c r="G35" s="9"/>
      <c r="H35" s="9"/>
    </row>
    <row r="36" spans="1:8" x14ac:dyDescent="0.25">
      <c r="A36" s="22" t="s">
        <v>10</v>
      </c>
      <c r="B36" s="22"/>
      <c r="C36" s="23">
        <v>0</v>
      </c>
      <c r="D36" s="22" t="s">
        <v>7</v>
      </c>
      <c r="E36" s="24">
        <f>C36*B4</f>
        <v>0</v>
      </c>
      <c r="F36" s="9"/>
      <c r="G36" s="9"/>
      <c r="H36" s="9"/>
    </row>
    <row r="37" spans="1:8" ht="24" customHeight="1" x14ac:dyDescent="0.25">
      <c r="A37" s="25" t="s">
        <v>11</v>
      </c>
      <c r="B37" s="25"/>
      <c r="C37" s="26">
        <v>0</v>
      </c>
      <c r="D37" s="25" t="s">
        <v>6</v>
      </c>
      <c r="E37" s="27">
        <f>C37*B4</f>
        <v>0</v>
      </c>
      <c r="F37" s="9"/>
      <c r="G37" s="9"/>
      <c r="H37" s="9"/>
    </row>
    <row r="41" spans="1:8" ht="27" customHeight="1" x14ac:dyDescent="0.25">
      <c r="A41" s="5"/>
      <c r="B41" s="5"/>
      <c r="C41" s="5"/>
      <c r="D41" s="5"/>
      <c r="E41" s="5"/>
    </row>
  </sheetData>
  <pageMargins left="0.7" right="0.7" top="0.75" bottom="0.75" header="0.3" footer="0.3"/>
  <pageSetup paperSize="9" orientation="portrait" horizontalDpi="4294967293"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6E2FE-C802-475D-B887-C0DDD7FB87D2}">
  <dimension ref="A1:Q125"/>
  <sheetViews>
    <sheetView topLeftCell="A55" zoomScale="90" zoomScaleNormal="90" workbookViewId="0">
      <selection activeCell="I75" sqref="I75"/>
    </sheetView>
  </sheetViews>
  <sheetFormatPr defaultRowHeight="15" x14ac:dyDescent="0.25"/>
  <cols>
    <col min="1" max="1" width="48.85546875" customWidth="1"/>
    <col min="2" max="2" width="12.7109375" bestFit="1" customWidth="1"/>
    <col min="3" max="3" width="13.28515625" customWidth="1"/>
    <col min="4" max="4" width="16.7109375" customWidth="1"/>
    <col min="5" max="5" width="12.85546875" bestFit="1" customWidth="1"/>
    <col min="6" max="6" width="12.7109375" customWidth="1"/>
    <col min="7" max="7" width="19.85546875" bestFit="1" customWidth="1"/>
    <col min="8" max="8" width="17.28515625" bestFit="1" customWidth="1"/>
    <col min="9" max="9" width="57.42578125" customWidth="1"/>
    <col min="10" max="10" width="17.7109375" customWidth="1"/>
    <col min="11" max="11" width="13.7109375" customWidth="1"/>
    <col min="12" max="12" width="17.42578125" customWidth="1"/>
    <col min="13" max="13" width="12.5703125" bestFit="1" customWidth="1"/>
    <col min="14" max="14" width="16.42578125" customWidth="1"/>
    <col min="15" max="15" width="13.5703125" customWidth="1"/>
    <col min="16" max="16" width="11.28515625" bestFit="1" customWidth="1"/>
    <col min="17" max="17" width="12.7109375" bestFit="1" customWidth="1"/>
    <col min="18" max="18" width="62.7109375" bestFit="1" customWidth="1"/>
    <col min="19" max="19" width="13.28515625" customWidth="1"/>
    <col min="20" max="20" width="22.28515625" customWidth="1"/>
    <col min="21" max="21" width="17.7109375" customWidth="1"/>
  </cols>
  <sheetData>
    <row r="1" spans="1:15" ht="24" x14ac:dyDescent="0.4">
      <c r="A1" s="17" t="s">
        <v>15</v>
      </c>
      <c r="B1" s="17"/>
      <c r="C1" s="2"/>
      <c r="D1" s="2"/>
      <c r="E1" s="2"/>
      <c r="F1" s="2"/>
    </row>
    <row r="3" spans="1:15" ht="15.75" x14ac:dyDescent="0.25">
      <c r="A3" s="19" t="s">
        <v>8</v>
      </c>
      <c r="B3" s="19"/>
      <c r="C3" s="19"/>
      <c r="D3" s="19"/>
      <c r="E3" s="19"/>
      <c r="F3" s="19"/>
      <c r="G3" s="114">
        <f>TCO!L9</f>
        <v>318840</v>
      </c>
      <c r="I3" s="41" t="s">
        <v>37</v>
      </c>
      <c r="J3" s="41"/>
    </row>
    <row r="5" spans="1:15" x14ac:dyDescent="0.25">
      <c r="A5" s="19" t="s">
        <v>13</v>
      </c>
      <c r="B5" s="19"/>
      <c r="C5" s="19"/>
      <c r="D5" s="19"/>
      <c r="E5" s="19"/>
      <c r="F5" s="19"/>
      <c r="G5" s="19">
        <f>TCO!B4</f>
        <v>5</v>
      </c>
    </row>
    <row r="6" spans="1:15" x14ac:dyDescent="0.25">
      <c r="A6" s="19" t="s">
        <v>97</v>
      </c>
      <c r="B6" s="19"/>
      <c r="C6" s="19"/>
      <c r="D6" s="19"/>
      <c r="E6" s="19"/>
      <c r="F6" s="19"/>
      <c r="G6" s="19">
        <f>TCO!B4 -1</f>
        <v>4</v>
      </c>
    </row>
    <row r="8" spans="1:15" ht="15.75" thickBot="1" x14ac:dyDescent="0.3">
      <c r="A8" t="s">
        <v>103</v>
      </c>
      <c r="I8" t="s">
        <v>104</v>
      </c>
      <c r="N8" s="64"/>
      <c r="O8" s="64"/>
    </row>
    <row r="9" spans="1:15" ht="16.5" thickBot="1" x14ac:dyDescent="0.3">
      <c r="A9" s="44" t="s">
        <v>64</v>
      </c>
      <c r="B9" s="128" t="s">
        <v>39</v>
      </c>
      <c r="C9" s="124"/>
      <c r="D9" s="128" t="s">
        <v>40</v>
      </c>
      <c r="E9" s="124"/>
      <c r="F9" s="128" t="s">
        <v>81</v>
      </c>
      <c r="G9" s="124"/>
      <c r="I9" s="44" t="s">
        <v>88</v>
      </c>
      <c r="J9" s="128" t="s">
        <v>39</v>
      </c>
      <c r="K9" s="123"/>
      <c r="L9" s="123" t="s">
        <v>40</v>
      </c>
      <c r="M9" s="124"/>
      <c r="N9" s="123" t="s">
        <v>41</v>
      </c>
      <c r="O9" s="124"/>
    </row>
    <row r="10" spans="1:15" ht="16.5" thickBot="1" x14ac:dyDescent="0.3">
      <c r="A10" s="44"/>
      <c r="B10" s="63" t="s">
        <v>75</v>
      </c>
      <c r="C10" s="63" t="s">
        <v>76</v>
      </c>
      <c r="D10" s="63" t="s">
        <v>75</v>
      </c>
      <c r="E10" s="60" t="s">
        <v>76</v>
      </c>
      <c r="F10" s="63" t="s">
        <v>75</v>
      </c>
      <c r="G10" s="60" t="s">
        <v>76</v>
      </c>
      <c r="I10" s="44"/>
      <c r="J10" s="59" t="s">
        <v>75</v>
      </c>
      <c r="K10" s="63" t="s">
        <v>76</v>
      </c>
      <c r="L10" s="63" t="s">
        <v>75</v>
      </c>
      <c r="M10" s="60" t="s">
        <v>76</v>
      </c>
      <c r="N10" s="63" t="s">
        <v>75</v>
      </c>
      <c r="O10" s="61" t="s">
        <v>76</v>
      </c>
    </row>
    <row r="11" spans="1:15" x14ac:dyDescent="0.25">
      <c r="A11" s="34" t="s">
        <v>42</v>
      </c>
      <c r="B11" s="33"/>
      <c r="C11" s="37"/>
      <c r="D11" s="31"/>
      <c r="E11" s="36"/>
      <c r="F11" s="31"/>
      <c r="G11" s="37"/>
      <c r="I11" s="34" t="s">
        <v>49</v>
      </c>
      <c r="J11" s="34"/>
      <c r="K11" s="36"/>
      <c r="L11" s="35"/>
      <c r="M11" s="36"/>
      <c r="N11" s="35"/>
      <c r="O11" s="36"/>
    </row>
    <row r="12" spans="1:15" x14ac:dyDescent="0.25">
      <c r="A12" s="33" t="s">
        <v>17</v>
      </c>
      <c r="B12" s="90">
        <v>8</v>
      </c>
      <c r="C12" s="91">
        <v>8</v>
      </c>
      <c r="D12" s="92">
        <v>8</v>
      </c>
      <c r="E12" s="91">
        <v>8</v>
      </c>
      <c r="F12" s="52"/>
      <c r="G12" s="37"/>
      <c r="I12" s="33" t="s">
        <v>17</v>
      </c>
      <c r="J12" s="90">
        <v>8</v>
      </c>
      <c r="K12" s="91">
        <v>8</v>
      </c>
      <c r="L12" s="92">
        <v>8</v>
      </c>
      <c r="M12" s="91">
        <v>8</v>
      </c>
      <c r="N12" s="52"/>
      <c r="O12" s="37"/>
    </row>
    <row r="13" spans="1:15" x14ac:dyDescent="0.25">
      <c r="A13" s="33" t="s">
        <v>18</v>
      </c>
      <c r="B13" s="62">
        <v>60</v>
      </c>
      <c r="C13" s="53">
        <v>52</v>
      </c>
      <c r="D13" s="52">
        <v>45</v>
      </c>
      <c r="E13" s="53">
        <v>36</v>
      </c>
      <c r="F13" s="52"/>
      <c r="G13" s="37"/>
      <c r="I13" s="33" t="s">
        <v>18</v>
      </c>
      <c r="J13" s="62">
        <v>50</v>
      </c>
      <c r="K13" s="53">
        <v>42</v>
      </c>
      <c r="L13" s="52">
        <v>45</v>
      </c>
      <c r="M13" s="53">
        <v>24</v>
      </c>
      <c r="N13" s="52"/>
      <c r="O13" s="37"/>
    </row>
    <row r="14" spans="1:15" x14ac:dyDescent="0.25">
      <c r="A14" s="33" t="s">
        <v>16</v>
      </c>
      <c r="B14" s="90">
        <f>B12*B13</f>
        <v>480</v>
      </c>
      <c r="C14" s="91">
        <f>C12*C13</f>
        <v>416</v>
      </c>
      <c r="D14" s="92">
        <f>D12*D13</f>
        <v>360</v>
      </c>
      <c r="E14" s="91">
        <f>E12*E13</f>
        <v>288</v>
      </c>
      <c r="F14" s="31"/>
      <c r="G14" s="37"/>
      <c r="I14" s="33" t="s">
        <v>16</v>
      </c>
      <c r="J14" s="90">
        <f>J12*J13</f>
        <v>400</v>
      </c>
      <c r="K14" s="91">
        <f>K12*K13</f>
        <v>336</v>
      </c>
      <c r="L14" s="92">
        <f>L12*L13</f>
        <v>360</v>
      </c>
      <c r="M14" s="91">
        <f>M12*M13</f>
        <v>192</v>
      </c>
      <c r="N14" s="31"/>
      <c r="O14" s="37"/>
    </row>
    <row r="15" spans="1:15" ht="15.75" thickBot="1" x14ac:dyDescent="0.3">
      <c r="A15" s="38" t="s">
        <v>59</v>
      </c>
      <c r="B15" s="93">
        <f>TCO!C8</f>
        <v>60</v>
      </c>
      <c r="C15" s="94">
        <f>TCO!C8</f>
        <v>60</v>
      </c>
      <c r="D15" s="95">
        <f>TCO!C9</f>
        <v>100</v>
      </c>
      <c r="E15" s="94">
        <f>TCO!C9</f>
        <v>100</v>
      </c>
      <c r="F15" s="39"/>
      <c r="G15" s="40"/>
      <c r="I15" s="33" t="s">
        <v>59</v>
      </c>
      <c r="J15" s="90">
        <f>TCO!C8</f>
        <v>60</v>
      </c>
      <c r="K15" s="91">
        <f>TCO!C8</f>
        <v>60</v>
      </c>
      <c r="L15" s="92">
        <f>TCO!C9</f>
        <v>100</v>
      </c>
      <c r="M15" s="91">
        <f>TCO!C9</f>
        <v>100</v>
      </c>
      <c r="N15" s="31"/>
      <c r="O15" s="37"/>
    </row>
    <row r="16" spans="1:15" ht="15.75" thickBot="1" x14ac:dyDescent="0.3">
      <c r="A16" s="49" t="s">
        <v>43</v>
      </c>
      <c r="B16" s="96">
        <f>B15*B14</f>
        <v>28800</v>
      </c>
      <c r="C16" s="97">
        <f>C15*C14</f>
        <v>24960</v>
      </c>
      <c r="D16" s="98">
        <f>D15*D14</f>
        <v>36000</v>
      </c>
      <c r="E16" s="97">
        <f>E15*E14</f>
        <v>28800</v>
      </c>
      <c r="F16" s="50"/>
      <c r="G16" s="51"/>
      <c r="I16" s="49" t="s">
        <v>21</v>
      </c>
      <c r="J16" s="96">
        <f>J15*J14</f>
        <v>24000</v>
      </c>
      <c r="K16" s="97">
        <f>K15*K14</f>
        <v>20160</v>
      </c>
      <c r="L16" s="98">
        <f>L15*L14</f>
        <v>36000</v>
      </c>
      <c r="M16" s="97">
        <f>M15*M14</f>
        <v>19200</v>
      </c>
      <c r="N16" s="50"/>
      <c r="O16" s="51"/>
    </row>
    <row r="17" spans="1:15" ht="28.5" customHeight="1" thickBot="1" x14ac:dyDescent="0.3">
      <c r="A17" s="22"/>
      <c r="B17" s="22"/>
      <c r="C17" s="22"/>
      <c r="D17" s="22"/>
      <c r="E17" s="22"/>
      <c r="F17" s="22"/>
      <c r="G17" s="22"/>
      <c r="I17" s="31"/>
      <c r="J17" s="31"/>
      <c r="K17" s="31"/>
      <c r="L17" s="31"/>
      <c r="M17" s="31"/>
      <c r="N17" s="31"/>
      <c r="O17" s="31"/>
    </row>
    <row r="18" spans="1:15" x14ac:dyDescent="0.25">
      <c r="A18" s="34" t="s">
        <v>33</v>
      </c>
      <c r="B18" s="34"/>
      <c r="C18" s="36"/>
      <c r="D18" s="35"/>
      <c r="E18" s="36"/>
      <c r="F18" s="35"/>
      <c r="G18" s="36"/>
      <c r="I18" s="34" t="s">
        <v>50</v>
      </c>
      <c r="J18" s="34"/>
      <c r="K18" s="36"/>
      <c r="L18" s="35"/>
      <c r="M18" s="36"/>
      <c r="N18" s="35"/>
      <c r="O18" s="36"/>
    </row>
    <row r="19" spans="1:15" x14ac:dyDescent="0.25">
      <c r="A19" s="33" t="s">
        <v>20</v>
      </c>
      <c r="B19" s="90">
        <v>8</v>
      </c>
      <c r="C19" s="91">
        <v>8</v>
      </c>
      <c r="D19" s="92">
        <v>8</v>
      </c>
      <c r="E19" s="91">
        <v>8</v>
      </c>
      <c r="F19" s="90">
        <v>8</v>
      </c>
      <c r="G19" s="91">
        <v>8</v>
      </c>
      <c r="I19" s="33" t="s">
        <v>20</v>
      </c>
      <c r="J19" s="90">
        <v>8</v>
      </c>
      <c r="K19" s="91">
        <v>8</v>
      </c>
      <c r="L19" s="92">
        <v>8</v>
      </c>
      <c r="M19" s="91">
        <v>8</v>
      </c>
      <c r="N19" s="92">
        <v>8</v>
      </c>
      <c r="O19" s="91">
        <v>8</v>
      </c>
    </row>
    <row r="20" spans="1:15" x14ac:dyDescent="0.25">
      <c r="A20" s="33" t="s">
        <v>19</v>
      </c>
      <c r="B20" s="62">
        <v>2</v>
      </c>
      <c r="C20" s="53">
        <v>2</v>
      </c>
      <c r="D20" s="52">
        <v>2</v>
      </c>
      <c r="E20" s="53">
        <v>2</v>
      </c>
      <c r="F20" s="62">
        <v>4</v>
      </c>
      <c r="G20" s="53">
        <v>4</v>
      </c>
      <c r="I20" s="33" t="s">
        <v>19</v>
      </c>
      <c r="J20" s="62">
        <v>1</v>
      </c>
      <c r="K20" s="53">
        <v>1</v>
      </c>
      <c r="L20" s="52">
        <v>1</v>
      </c>
      <c r="M20" s="53">
        <v>1</v>
      </c>
      <c r="N20" s="52">
        <v>4</v>
      </c>
      <c r="O20" s="53">
        <v>4</v>
      </c>
    </row>
    <row r="21" spans="1:15" x14ac:dyDescent="0.25">
      <c r="A21" s="33" t="s">
        <v>22</v>
      </c>
      <c r="B21" s="90">
        <f t="shared" ref="B21:G21" si="0">B19*B20</f>
        <v>16</v>
      </c>
      <c r="C21" s="91">
        <f t="shared" si="0"/>
        <v>16</v>
      </c>
      <c r="D21" s="92">
        <f t="shared" si="0"/>
        <v>16</v>
      </c>
      <c r="E21" s="91">
        <f t="shared" si="0"/>
        <v>16</v>
      </c>
      <c r="F21" s="90">
        <f t="shared" si="0"/>
        <v>32</v>
      </c>
      <c r="G21" s="91">
        <f t="shared" si="0"/>
        <v>32</v>
      </c>
      <c r="I21" s="33" t="s">
        <v>22</v>
      </c>
      <c r="J21" s="90">
        <f t="shared" ref="J21:O21" si="1">J19*J20</f>
        <v>8</v>
      </c>
      <c r="K21" s="91">
        <f t="shared" si="1"/>
        <v>8</v>
      </c>
      <c r="L21" s="92">
        <f t="shared" si="1"/>
        <v>8</v>
      </c>
      <c r="M21" s="91">
        <f t="shared" si="1"/>
        <v>8</v>
      </c>
      <c r="N21" s="92">
        <f t="shared" si="1"/>
        <v>32</v>
      </c>
      <c r="O21" s="91">
        <f t="shared" si="1"/>
        <v>32</v>
      </c>
    </row>
    <row r="22" spans="1:15" ht="15.75" thickBot="1" x14ac:dyDescent="0.3">
      <c r="A22" s="33" t="s">
        <v>60</v>
      </c>
      <c r="B22" s="90">
        <f>TCO!C8</f>
        <v>60</v>
      </c>
      <c r="C22" s="91">
        <f>TCO!C8</f>
        <v>60</v>
      </c>
      <c r="D22" s="92">
        <f>TCO!C9</f>
        <v>100</v>
      </c>
      <c r="E22" s="91">
        <f>TCO!C9</f>
        <v>100</v>
      </c>
      <c r="F22" s="92">
        <f>TCO!C10</f>
        <v>188</v>
      </c>
      <c r="G22" s="91">
        <f>TCO!C10</f>
        <v>188</v>
      </c>
      <c r="I22" s="33" t="s">
        <v>59</v>
      </c>
      <c r="J22" s="113">
        <f>TCO!C8</f>
        <v>60</v>
      </c>
      <c r="K22" s="94">
        <f>TCO!C8</f>
        <v>60</v>
      </c>
      <c r="L22" s="91">
        <f>TCO!C9</f>
        <v>100</v>
      </c>
      <c r="M22" s="94">
        <f>TCO!C9</f>
        <v>100</v>
      </c>
      <c r="N22" s="93">
        <f>TCO!C10</f>
        <v>188</v>
      </c>
      <c r="O22" s="91">
        <f>TCO!C10</f>
        <v>188</v>
      </c>
    </row>
    <row r="23" spans="1:15" ht="15.75" thickBot="1" x14ac:dyDescent="0.3">
      <c r="A23" s="49" t="s">
        <v>44</v>
      </c>
      <c r="B23" s="96">
        <f t="shared" ref="B23:G23" si="2">B22*B21</f>
        <v>960</v>
      </c>
      <c r="C23" s="97">
        <f t="shared" si="2"/>
        <v>960</v>
      </c>
      <c r="D23" s="98">
        <f t="shared" si="2"/>
        <v>1600</v>
      </c>
      <c r="E23" s="97">
        <f t="shared" si="2"/>
        <v>1600</v>
      </c>
      <c r="F23" s="97">
        <f t="shared" si="2"/>
        <v>6016</v>
      </c>
      <c r="G23" s="97">
        <f t="shared" si="2"/>
        <v>6016</v>
      </c>
      <c r="I23" s="49" t="s">
        <v>51</v>
      </c>
      <c r="J23" s="96">
        <f t="shared" ref="J23:O23" si="3">J22*J21</f>
        <v>480</v>
      </c>
      <c r="K23" s="98">
        <f t="shared" si="3"/>
        <v>480</v>
      </c>
      <c r="L23" s="98">
        <f t="shared" si="3"/>
        <v>800</v>
      </c>
      <c r="M23" s="98">
        <f t="shared" si="3"/>
        <v>800</v>
      </c>
      <c r="N23" s="98">
        <f t="shared" si="3"/>
        <v>6016</v>
      </c>
      <c r="O23" s="97">
        <f t="shared" si="3"/>
        <v>6016</v>
      </c>
    </row>
    <row r="24" spans="1:15" ht="21" customHeight="1" thickBot="1" x14ac:dyDescent="0.3">
      <c r="A24" s="22"/>
      <c r="B24" s="22"/>
      <c r="C24" s="22"/>
      <c r="D24" s="22"/>
      <c r="E24" s="22"/>
      <c r="F24" s="22"/>
      <c r="G24" s="22"/>
      <c r="I24" s="31"/>
      <c r="J24" s="31"/>
      <c r="K24" s="31"/>
      <c r="L24" s="31"/>
      <c r="M24" s="31"/>
      <c r="N24" s="31"/>
      <c r="O24" s="31"/>
    </row>
    <row r="25" spans="1:15" ht="18" customHeight="1" x14ac:dyDescent="0.25">
      <c r="A25" s="34" t="s">
        <v>45</v>
      </c>
      <c r="B25" s="34"/>
      <c r="C25" s="36"/>
      <c r="D25" s="35"/>
      <c r="E25" s="36"/>
      <c r="F25" s="35"/>
      <c r="G25" s="36"/>
      <c r="I25" s="34" t="s">
        <v>52</v>
      </c>
      <c r="J25" s="34"/>
      <c r="K25" s="36"/>
      <c r="L25" s="35"/>
      <c r="M25" s="36"/>
      <c r="N25" s="35"/>
      <c r="O25" s="36"/>
    </row>
    <row r="26" spans="1:15" x14ac:dyDescent="0.25">
      <c r="A26" s="33" t="s">
        <v>17</v>
      </c>
      <c r="B26" s="90">
        <v>8</v>
      </c>
      <c r="C26" s="91">
        <v>8</v>
      </c>
      <c r="D26" s="92">
        <v>8</v>
      </c>
      <c r="E26" s="91">
        <v>8</v>
      </c>
      <c r="F26" s="52"/>
      <c r="G26" s="37"/>
      <c r="I26" s="33" t="s">
        <v>17</v>
      </c>
      <c r="J26" s="90">
        <v>8</v>
      </c>
      <c r="K26" s="91">
        <v>8</v>
      </c>
      <c r="L26" s="92">
        <v>8</v>
      </c>
      <c r="M26" s="91">
        <v>8</v>
      </c>
      <c r="N26" s="52"/>
      <c r="O26" s="37"/>
    </row>
    <row r="27" spans="1:15" x14ac:dyDescent="0.25">
      <c r="A27" s="33" t="s">
        <v>18</v>
      </c>
      <c r="B27" s="62">
        <v>5</v>
      </c>
      <c r="C27" s="53">
        <v>3</v>
      </c>
      <c r="D27" s="52">
        <v>5</v>
      </c>
      <c r="E27" s="53">
        <v>3</v>
      </c>
      <c r="F27" s="52"/>
      <c r="G27" s="37"/>
      <c r="I27" s="33" t="s">
        <v>18</v>
      </c>
      <c r="J27" s="62">
        <v>5</v>
      </c>
      <c r="K27" s="53">
        <v>2</v>
      </c>
      <c r="L27" s="52">
        <v>5</v>
      </c>
      <c r="M27" s="53">
        <v>2</v>
      </c>
      <c r="N27" s="52"/>
      <c r="O27" s="37"/>
    </row>
    <row r="28" spans="1:15" x14ac:dyDescent="0.25">
      <c r="A28" s="33" t="s">
        <v>16</v>
      </c>
      <c r="B28" s="90">
        <f>B26*B27</f>
        <v>40</v>
      </c>
      <c r="C28" s="91">
        <f>C26*C27</f>
        <v>24</v>
      </c>
      <c r="D28" s="92">
        <f>D26*D27</f>
        <v>40</v>
      </c>
      <c r="E28" s="91">
        <f>E26*E27</f>
        <v>24</v>
      </c>
      <c r="F28" s="31"/>
      <c r="G28" s="37"/>
      <c r="I28" s="33" t="s">
        <v>16</v>
      </c>
      <c r="J28" s="90">
        <f>J26*J27</f>
        <v>40</v>
      </c>
      <c r="K28" s="91">
        <f>K26*K27</f>
        <v>16</v>
      </c>
      <c r="L28" s="92">
        <f>L26*L27</f>
        <v>40</v>
      </c>
      <c r="M28" s="91">
        <f>M26*M27</f>
        <v>16</v>
      </c>
      <c r="N28" s="31"/>
      <c r="O28" s="37"/>
    </row>
    <row r="29" spans="1:15" ht="15.75" thickBot="1" x14ac:dyDescent="0.3">
      <c r="A29" s="33" t="s">
        <v>59</v>
      </c>
      <c r="B29" s="90">
        <f>TCO!C8</f>
        <v>60</v>
      </c>
      <c r="C29" s="91">
        <f>TCO!C8</f>
        <v>60</v>
      </c>
      <c r="D29" s="92">
        <f>TCO!C9</f>
        <v>100</v>
      </c>
      <c r="E29" s="91">
        <f>TCO!C9</f>
        <v>100</v>
      </c>
      <c r="F29" s="31"/>
      <c r="G29" s="37"/>
      <c r="I29" s="33" t="s">
        <v>59</v>
      </c>
      <c r="J29" s="90">
        <f>TCO!C8</f>
        <v>60</v>
      </c>
      <c r="K29" s="94">
        <f>TCO!C8</f>
        <v>60</v>
      </c>
      <c r="L29" s="92">
        <f>TCO!C9</f>
        <v>100</v>
      </c>
      <c r="M29" s="94">
        <f>TCO!C9</f>
        <v>100</v>
      </c>
      <c r="N29" s="31"/>
      <c r="O29" s="37"/>
    </row>
    <row r="30" spans="1:15" ht="15.75" thickBot="1" x14ac:dyDescent="0.3">
      <c r="A30" s="49" t="s">
        <v>43</v>
      </c>
      <c r="B30" s="96">
        <f>B29*B28</f>
        <v>2400</v>
      </c>
      <c r="C30" s="97">
        <f>C29*C28</f>
        <v>1440</v>
      </c>
      <c r="D30" s="98">
        <f>D29*D28</f>
        <v>4000</v>
      </c>
      <c r="E30" s="97">
        <f>E29*E28</f>
        <v>2400</v>
      </c>
      <c r="F30" s="50"/>
      <c r="G30" s="51"/>
      <c r="I30" s="49" t="s">
        <v>21</v>
      </c>
      <c r="J30" s="96">
        <f>J29*J28</f>
        <v>2400</v>
      </c>
      <c r="K30" s="98">
        <f>K29*K28</f>
        <v>960</v>
      </c>
      <c r="L30" s="98">
        <f>L29*L28</f>
        <v>4000</v>
      </c>
      <c r="M30" s="98">
        <f>M29*M28</f>
        <v>1600</v>
      </c>
      <c r="N30" s="50"/>
      <c r="O30" s="51"/>
    </row>
    <row r="31" spans="1:15" x14ac:dyDescent="0.25">
      <c r="A31" s="22"/>
      <c r="B31" s="22"/>
      <c r="C31" s="22"/>
      <c r="D31" s="22"/>
      <c r="E31" s="22"/>
      <c r="F31" s="22"/>
      <c r="G31" s="22"/>
      <c r="I31" s="31"/>
      <c r="J31" s="31"/>
      <c r="K31" s="31"/>
      <c r="L31" s="31"/>
      <c r="M31" s="31"/>
      <c r="N31" s="31"/>
      <c r="O31" s="31"/>
    </row>
    <row r="32" spans="1:15" ht="15.75" thickBot="1" x14ac:dyDescent="0.3">
      <c r="A32" s="22"/>
      <c r="B32" s="22"/>
      <c r="C32" s="22"/>
      <c r="D32" s="22"/>
      <c r="E32" s="22"/>
      <c r="F32" s="22"/>
      <c r="G32" s="22"/>
      <c r="I32" s="31"/>
      <c r="J32" s="31"/>
      <c r="K32" s="31"/>
      <c r="L32" s="31"/>
      <c r="M32" s="31"/>
      <c r="N32" s="31"/>
      <c r="O32" s="31"/>
    </row>
    <row r="33" spans="1:16" ht="15.75" thickBot="1" x14ac:dyDescent="0.3">
      <c r="A33" s="34" t="s">
        <v>46</v>
      </c>
      <c r="B33" s="34"/>
      <c r="C33" s="36"/>
      <c r="D33" s="35"/>
      <c r="E33" s="36"/>
      <c r="F33" s="35"/>
      <c r="G33" s="36"/>
      <c r="H33" s="122"/>
      <c r="I33" s="34" t="s">
        <v>53</v>
      </c>
      <c r="J33" s="34"/>
      <c r="K33" s="36"/>
      <c r="L33" s="35"/>
      <c r="M33" s="36"/>
      <c r="N33" s="35"/>
      <c r="O33" s="36"/>
    </row>
    <row r="34" spans="1:16" x14ac:dyDescent="0.25">
      <c r="A34" s="33" t="s">
        <v>20</v>
      </c>
      <c r="B34" s="90">
        <v>8</v>
      </c>
      <c r="C34" s="91">
        <v>8</v>
      </c>
      <c r="D34" s="92">
        <v>8</v>
      </c>
      <c r="E34" s="91">
        <v>8</v>
      </c>
      <c r="F34" s="92">
        <v>8</v>
      </c>
      <c r="G34" s="91">
        <v>8</v>
      </c>
      <c r="I34" s="33" t="s">
        <v>20</v>
      </c>
      <c r="J34" s="90">
        <v>8</v>
      </c>
      <c r="K34" s="91">
        <v>8</v>
      </c>
      <c r="L34" s="92">
        <v>8</v>
      </c>
      <c r="M34" s="91">
        <v>8</v>
      </c>
      <c r="N34" s="92">
        <v>8</v>
      </c>
      <c r="O34" s="91">
        <v>8</v>
      </c>
    </row>
    <row r="35" spans="1:16" x14ac:dyDescent="0.25">
      <c r="A35" s="33" t="s">
        <v>19</v>
      </c>
      <c r="B35" s="62">
        <v>4</v>
      </c>
      <c r="C35" s="53">
        <v>2</v>
      </c>
      <c r="D35" s="52">
        <v>4</v>
      </c>
      <c r="E35" s="53">
        <v>2</v>
      </c>
      <c r="F35" s="52">
        <v>6</v>
      </c>
      <c r="G35" s="53">
        <v>3</v>
      </c>
      <c r="I35" s="33" t="s">
        <v>19</v>
      </c>
      <c r="J35" s="62">
        <v>4</v>
      </c>
      <c r="K35" s="53">
        <v>2</v>
      </c>
      <c r="L35" s="52">
        <v>4</v>
      </c>
      <c r="M35" s="53">
        <v>2</v>
      </c>
      <c r="N35" s="52">
        <v>6</v>
      </c>
      <c r="O35" s="53">
        <v>3</v>
      </c>
    </row>
    <row r="36" spans="1:16" x14ac:dyDescent="0.25">
      <c r="A36" s="33" t="s">
        <v>22</v>
      </c>
      <c r="B36" s="90">
        <f t="shared" ref="B36:G36" si="4">B34*B35</f>
        <v>32</v>
      </c>
      <c r="C36" s="91">
        <f t="shared" si="4"/>
        <v>16</v>
      </c>
      <c r="D36" s="92">
        <f t="shared" si="4"/>
        <v>32</v>
      </c>
      <c r="E36" s="91">
        <f t="shared" si="4"/>
        <v>16</v>
      </c>
      <c r="F36" s="92">
        <f t="shared" si="4"/>
        <v>48</v>
      </c>
      <c r="G36" s="91">
        <f t="shared" si="4"/>
        <v>24</v>
      </c>
      <c r="I36" s="33" t="s">
        <v>22</v>
      </c>
      <c r="J36" s="90">
        <f t="shared" ref="J36:O36" si="5">J34*J35</f>
        <v>32</v>
      </c>
      <c r="K36" s="91">
        <f t="shared" si="5"/>
        <v>16</v>
      </c>
      <c r="L36" s="92">
        <f t="shared" si="5"/>
        <v>32</v>
      </c>
      <c r="M36" s="91">
        <f t="shared" si="5"/>
        <v>16</v>
      </c>
      <c r="N36" s="92">
        <f t="shared" si="5"/>
        <v>48</v>
      </c>
      <c r="O36" s="91">
        <f t="shared" si="5"/>
        <v>24</v>
      </c>
    </row>
    <row r="37" spans="1:16" ht="15.75" thickBot="1" x14ac:dyDescent="0.3">
      <c r="A37" s="33" t="s">
        <v>59</v>
      </c>
      <c r="B37" s="90">
        <f>TCO!C8</f>
        <v>60</v>
      </c>
      <c r="C37" s="94">
        <f>TCO!C8</f>
        <v>60</v>
      </c>
      <c r="D37" s="93">
        <f>TCO!C9</f>
        <v>100</v>
      </c>
      <c r="E37" s="91">
        <f>TCO!C9</f>
        <v>100</v>
      </c>
      <c r="F37" s="93">
        <f>TCO!C10</f>
        <v>188</v>
      </c>
      <c r="G37" s="91">
        <f>TCO!C10</f>
        <v>188</v>
      </c>
      <c r="I37" s="33" t="s">
        <v>59</v>
      </c>
      <c r="J37" s="90">
        <f>TCO!C8</f>
        <v>60</v>
      </c>
      <c r="K37" s="94">
        <f>TCO!C8</f>
        <v>60</v>
      </c>
      <c r="L37" s="92">
        <f>TCO!C9</f>
        <v>100</v>
      </c>
      <c r="M37" s="94">
        <f>TCO!C9</f>
        <v>100</v>
      </c>
      <c r="N37" s="93">
        <f>TCO!C10</f>
        <v>188</v>
      </c>
      <c r="O37" s="91">
        <f>TCO!C10</f>
        <v>188</v>
      </c>
    </row>
    <row r="38" spans="1:16" ht="15.75" thickBot="1" x14ac:dyDescent="0.3">
      <c r="A38" s="49" t="s">
        <v>47</v>
      </c>
      <c r="B38" s="96">
        <f t="shared" ref="B38:G38" si="6">B37*B36</f>
        <v>1920</v>
      </c>
      <c r="C38" s="97">
        <f t="shared" si="6"/>
        <v>960</v>
      </c>
      <c r="D38" s="98">
        <f t="shared" si="6"/>
        <v>3200</v>
      </c>
      <c r="E38" s="97">
        <f t="shared" si="6"/>
        <v>1600</v>
      </c>
      <c r="F38" s="98">
        <f t="shared" si="6"/>
        <v>9024</v>
      </c>
      <c r="G38" s="97">
        <f t="shared" si="6"/>
        <v>4512</v>
      </c>
      <c r="I38" s="49" t="s">
        <v>54</v>
      </c>
      <c r="J38" s="96">
        <f t="shared" ref="J38:O38" si="7">J37*J36</f>
        <v>1920</v>
      </c>
      <c r="K38" s="98">
        <f t="shared" si="7"/>
        <v>960</v>
      </c>
      <c r="L38" s="98">
        <f t="shared" si="7"/>
        <v>3200</v>
      </c>
      <c r="M38" s="98">
        <f t="shared" si="7"/>
        <v>1600</v>
      </c>
      <c r="N38" s="98">
        <f t="shared" si="7"/>
        <v>9024</v>
      </c>
      <c r="O38" s="97">
        <f t="shared" si="7"/>
        <v>4512</v>
      </c>
    </row>
    <row r="39" spans="1:16" ht="20.25" customHeight="1" thickBot="1" x14ac:dyDescent="0.3">
      <c r="A39" s="4"/>
      <c r="B39" s="4"/>
      <c r="C39" s="4"/>
      <c r="D39" s="4"/>
      <c r="E39" s="4"/>
      <c r="F39" s="4"/>
      <c r="I39" s="4"/>
      <c r="J39" s="4"/>
      <c r="K39" s="4"/>
      <c r="L39" s="4"/>
      <c r="M39" s="4"/>
      <c r="N39" s="4"/>
    </row>
    <row r="40" spans="1:16" ht="20.25" customHeight="1" thickBot="1" x14ac:dyDescent="0.3">
      <c r="A40" s="58"/>
      <c r="B40" s="125" t="s">
        <v>39</v>
      </c>
      <c r="C40" s="126"/>
      <c r="D40" s="125" t="s">
        <v>77</v>
      </c>
      <c r="E40" s="126"/>
      <c r="F40" s="127" t="s">
        <v>41</v>
      </c>
      <c r="G40" s="126"/>
      <c r="I40" s="58"/>
      <c r="J40" s="125" t="s">
        <v>39</v>
      </c>
      <c r="K40" s="126"/>
      <c r="L40" s="125" t="s">
        <v>80</v>
      </c>
      <c r="M40" s="126"/>
      <c r="N40" s="125" t="s">
        <v>81</v>
      </c>
      <c r="O40" s="126"/>
    </row>
    <row r="41" spans="1:16" ht="20.25" customHeight="1" thickBot="1" x14ac:dyDescent="0.3">
      <c r="A41" s="58"/>
      <c r="B41" s="65" t="s">
        <v>75</v>
      </c>
      <c r="C41" s="65" t="s">
        <v>76</v>
      </c>
      <c r="D41" s="66" t="s">
        <v>75</v>
      </c>
      <c r="E41" s="65" t="s">
        <v>76</v>
      </c>
      <c r="F41" s="66" t="s">
        <v>75</v>
      </c>
      <c r="G41" s="67" t="s">
        <v>76</v>
      </c>
      <c r="I41" s="58"/>
      <c r="J41" s="65" t="s">
        <v>75</v>
      </c>
      <c r="K41" s="67" t="s">
        <v>76</v>
      </c>
      <c r="L41" s="65" t="s">
        <v>75</v>
      </c>
      <c r="M41" s="67" t="s">
        <v>76</v>
      </c>
      <c r="N41" s="65" t="s">
        <v>75</v>
      </c>
      <c r="O41" s="67" t="s">
        <v>76</v>
      </c>
    </row>
    <row r="42" spans="1:16" x14ac:dyDescent="0.25">
      <c r="A42" s="72" t="s">
        <v>48</v>
      </c>
      <c r="B42" s="99">
        <f>B16+B23+B30+B38</f>
        <v>34080</v>
      </c>
      <c r="C42" s="100">
        <f>C16+C23+C30+C38</f>
        <v>28320</v>
      </c>
      <c r="D42" s="99">
        <f>D16+D23+D30+D38</f>
        <v>44800</v>
      </c>
      <c r="E42" s="100">
        <f>E16+E23+E30+E38</f>
        <v>34400</v>
      </c>
      <c r="F42" s="101">
        <f>F23+F38</f>
        <v>15040</v>
      </c>
      <c r="G42" s="100">
        <f>G23+G38</f>
        <v>10528</v>
      </c>
      <c r="I42" s="72" t="s">
        <v>55</v>
      </c>
      <c r="J42" s="99">
        <f>J16+J23+J30+J38</f>
        <v>28800</v>
      </c>
      <c r="K42" s="100">
        <f>K16+K23+K30+K38</f>
        <v>22560</v>
      </c>
      <c r="L42" s="101">
        <f>L16+L23+L30+L38</f>
        <v>44000</v>
      </c>
      <c r="M42" s="100">
        <f>M16+M23+M30+M38</f>
        <v>23200</v>
      </c>
      <c r="N42" s="101">
        <f>N23+N38</f>
        <v>15040</v>
      </c>
      <c r="O42" s="100">
        <f>O23+O38</f>
        <v>10528</v>
      </c>
    </row>
    <row r="43" spans="1:16" ht="15.75" thickBot="1" x14ac:dyDescent="0.3">
      <c r="A43" s="72" t="s">
        <v>57</v>
      </c>
      <c r="B43" s="102">
        <f>B14+B21+B28+B36</f>
        <v>568</v>
      </c>
      <c r="C43" s="103">
        <f>C14+C21+C28+C36</f>
        <v>472</v>
      </c>
      <c r="D43" s="102">
        <f>D14+D21+D28+D36</f>
        <v>448</v>
      </c>
      <c r="E43" s="103">
        <f>E14+E21+E28+E36</f>
        <v>344</v>
      </c>
      <c r="F43" s="104">
        <f>F21+F36</f>
        <v>80</v>
      </c>
      <c r="G43" s="103">
        <f>G21+G36</f>
        <v>56</v>
      </c>
      <c r="I43" s="72" t="s">
        <v>58</v>
      </c>
      <c r="J43" s="102">
        <f>J14+J21+J28+J36</f>
        <v>480</v>
      </c>
      <c r="K43" s="103">
        <f>K14+K21+K28+K36</f>
        <v>376</v>
      </c>
      <c r="L43" s="104">
        <f>L14+L21+L28+L36</f>
        <v>440</v>
      </c>
      <c r="M43" s="103">
        <f>M14+M21+M28+M36</f>
        <v>232</v>
      </c>
      <c r="N43" s="104">
        <f>N21+N36</f>
        <v>80</v>
      </c>
      <c r="O43" s="103">
        <f>O21+O36</f>
        <v>56</v>
      </c>
    </row>
    <row r="44" spans="1:16" x14ac:dyDescent="0.25">
      <c r="A44" s="4"/>
      <c r="B44" s="4"/>
      <c r="C44" s="4"/>
      <c r="D44" s="4"/>
      <c r="E44" s="4"/>
      <c r="F44" s="4"/>
      <c r="I44" s="4"/>
      <c r="J44" s="4"/>
      <c r="K44" s="4"/>
      <c r="L44" s="4"/>
      <c r="M44" s="4"/>
      <c r="N44" s="4"/>
    </row>
    <row r="45" spans="1:16" x14ac:dyDescent="0.25">
      <c r="A45" s="4"/>
      <c r="B45" s="4"/>
      <c r="C45" s="4"/>
      <c r="D45" s="4"/>
      <c r="E45" s="4"/>
      <c r="F45" s="4"/>
      <c r="I45" s="33" t="s">
        <v>96</v>
      </c>
      <c r="J45" s="69">
        <f>TCO!L6</f>
        <v>12600</v>
      </c>
      <c r="K45" s="4"/>
      <c r="L45" s="4"/>
      <c r="M45" s="4"/>
      <c r="N45" s="4"/>
    </row>
    <row r="46" spans="1:16" x14ac:dyDescent="0.25">
      <c r="A46" s="4"/>
      <c r="B46" s="4"/>
      <c r="C46" s="4"/>
      <c r="D46" s="4"/>
      <c r="E46" s="4"/>
      <c r="F46" s="4"/>
      <c r="I46" s="4"/>
      <c r="J46" s="4"/>
      <c r="K46" s="4"/>
      <c r="L46" s="4"/>
      <c r="M46" s="4"/>
      <c r="N46" s="4"/>
    </row>
    <row r="47" spans="1:16" x14ac:dyDescent="0.25">
      <c r="A47" s="4"/>
      <c r="B47" s="129" t="s">
        <v>94</v>
      </c>
      <c r="C47" s="129"/>
      <c r="D47" s="129" t="s">
        <v>95</v>
      </c>
      <c r="E47" s="129"/>
      <c r="F47" s="4"/>
      <c r="I47" s="4"/>
      <c r="J47" s="129" t="s">
        <v>94</v>
      </c>
      <c r="K47" s="129"/>
      <c r="L47" s="129" t="s">
        <v>95</v>
      </c>
      <c r="M47" s="129"/>
      <c r="N47" s="4"/>
    </row>
    <row r="48" spans="1:16" x14ac:dyDescent="0.25">
      <c r="A48" s="48" t="s">
        <v>91</v>
      </c>
      <c r="B48" s="48"/>
      <c r="C48" s="105">
        <f>B42+D42</f>
        <v>78880</v>
      </c>
      <c r="D48" s="48"/>
      <c r="E48" s="105">
        <f>B42+D42+F42</f>
        <v>93920</v>
      </c>
      <c r="G48" s="57"/>
      <c r="I48" s="48" t="s">
        <v>117</v>
      </c>
      <c r="J48" s="48"/>
      <c r="K48" s="105">
        <f>J42+L42+J45</f>
        <v>85400</v>
      </c>
      <c r="L48" s="48"/>
      <c r="M48" s="105">
        <f>J42+L42+N42+J45</f>
        <v>100440</v>
      </c>
      <c r="O48" s="57"/>
      <c r="P48" s="57"/>
    </row>
    <row r="49" spans="1:17" x14ac:dyDescent="0.25">
      <c r="A49" s="48" t="s">
        <v>78</v>
      </c>
      <c r="B49" s="48"/>
      <c r="C49" s="48">
        <f>B43+D43</f>
        <v>1016</v>
      </c>
      <c r="D49" s="48"/>
      <c r="E49" s="48">
        <f>B43+D43+F43</f>
        <v>1096</v>
      </c>
      <c r="F49" s="57"/>
      <c r="I49" s="48" t="s">
        <v>78</v>
      </c>
      <c r="J49" s="48"/>
      <c r="K49" s="48">
        <f>J43+L43</f>
        <v>920</v>
      </c>
      <c r="L49" s="48"/>
      <c r="M49" s="48">
        <f>J43+L43+N43</f>
        <v>1000</v>
      </c>
    </row>
    <row r="50" spans="1:17" x14ac:dyDescent="0.25">
      <c r="B50" s="4"/>
      <c r="D50" s="4"/>
      <c r="E50" s="4"/>
      <c r="K50" s="57"/>
      <c r="M50" s="57"/>
      <c r="Q50" s="1"/>
    </row>
    <row r="51" spans="1:17" x14ac:dyDescent="0.25">
      <c r="A51" s="48" t="s">
        <v>92</v>
      </c>
      <c r="B51" s="48"/>
      <c r="C51" s="105">
        <f>C42+E42</f>
        <v>62720</v>
      </c>
      <c r="D51" s="48"/>
      <c r="E51" s="105">
        <f>C42+E42+G42</f>
        <v>73248</v>
      </c>
      <c r="F51" s="4"/>
      <c r="G51" s="57"/>
      <c r="I51" s="48" t="s">
        <v>118</v>
      </c>
      <c r="J51" s="48"/>
      <c r="K51" s="105">
        <f>K42+M42+J45</f>
        <v>58360</v>
      </c>
      <c r="L51" s="48"/>
      <c r="M51" s="105">
        <f>K42+M42+O42+J45</f>
        <v>68888</v>
      </c>
      <c r="O51" s="57"/>
      <c r="P51" s="57"/>
    </row>
    <row r="52" spans="1:17" x14ac:dyDescent="0.25">
      <c r="A52" s="48" t="s">
        <v>79</v>
      </c>
      <c r="B52" s="48"/>
      <c r="C52" s="48">
        <f>C43+E43</f>
        <v>816</v>
      </c>
      <c r="D52" s="48"/>
      <c r="E52" s="48">
        <f>C43+E43+G43</f>
        <v>872</v>
      </c>
      <c r="F52" s="4"/>
      <c r="I52" s="48" t="s">
        <v>79</v>
      </c>
      <c r="J52" s="48"/>
      <c r="K52" s="48">
        <f>K43+M43</f>
        <v>608</v>
      </c>
      <c r="L52" s="48"/>
      <c r="M52" s="48">
        <f>K43+M43+O43</f>
        <v>664</v>
      </c>
    </row>
    <row r="53" spans="1:17" x14ac:dyDescent="0.25">
      <c r="A53" s="4"/>
      <c r="B53" s="4"/>
      <c r="C53" s="4"/>
      <c r="D53" s="4"/>
      <c r="E53" s="4"/>
      <c r="F53" s="4"/>
      <c r="K53" s="57"/>
      <c r="M53" s="57"/>
      <c r="O53" s="57"/>
    </row>
    <row r="54" spans="1:17" x14ac:dyDescent="0.25">
      <c r="A54" s="48" t="str">
        <f>"Totale kost over " &amp; TCO!B4 &amp; " jaar"</f>
        <v>Totale kost over 5 jaar</v>
      </c>
      <c r="B54" s="105">
        <f>C48+(C51*G6)</f>
        <v>329760</v>
      </c>
      <c r="C54" s="4"/>
      <c r="D54" s="4"/>
      <c r="E54" s="68"/>
      <c r="F54" s="4"/>
      <c r="G54" s="57"/>
      <c r="I54" s="48" t="str">
        <f>"Totale kost over " &amp; TCO!B4 &amp; " jaar"</f>
        <v>Totale kost over 5 jaar</v>
      </c>
      <c r="J54" s="105">
        <f>K48+(K51*G6)</f>
        <v>318840</v>
      </c>
      <c r="K54" s="57"/>
      <c r="L54" s="57"/>
      <c r="O54" s="57"/>
    </row>
    <row r="55" spans="1:17" x14ac:dyDescent="0.25">
      <c r="A55" s="4"/>
      <c r="B55" s="4"/>
      <c r="C55" s="4"/>
      <c r="D55" s="4"/>
      <c r="E55" s="4"/>
      <c r="F55" s="68"/>
      <c r="H55" s="57"/>
      <c r="O55" s="57"/>
    </row>
    <row r="56" spans="1:17" x14ac:dyDescent="0.25">
      <c r="A56" s="4"/>
      <c r="B56" s="4"/>
      <c r="C56" s="4"/>
      <c r="D56" s="4"/>
      <c r="E56" s="4"/>
      <c r="F56" s="4"/>
      <c r="J56" s="57"/>
      <c r="K56" s="57"/>
      <c r="O56" s="57"/>
    </row>
    <row r="57" spans="1:17" x14ac:dyDescent="0.25">
      <c r="C57" s="4"/>
      <c r="D57" s="4"/>
      <c r="E57" s="4"/>
      <c r="F57" s="4"/>
      <c r="P57" s="57"/>
    </row>
    <row r="58" spans="1:17" ht="15.75" x14ac:dyDescent="0.25">
      <c r="A58" s="44" t="s">
        <v>23</v>
      </c>
      <c r="B58" s="44"/>
      <c r="C58" s="44" t="s">
        <v>84</v>
      </c>
      <c r="D58" s="44" t="s">
        <v>85</v>
      </c>
      <c r="E58" s="44"/>
      <c r="F58" s="44"/>
      <c r="G58" s="44" t="s">
        <v>101</v>
      </c>
      <c r="I58" s="44" t="s">
        <v>73</v>
      </c>
      <c r="J58" s="44"/>
    </row>
    <row r="59" spans="1:17" x14ac:dyDescent="0.25">
      <c r="A59" s="55" t="s">
        <v>116</v>
      </c>
      <c r="B59" s="55"/>
      <c r="C59" s="31"/>
      <c r="D59" s="31"/>
      <c r="E59" s="31"/>
      <c r="F59" s="31"/>
      <c r="G59" s="31"/>
      <c r="I59" s="55" t="str">
        <f>"De investering zijn ROI is na " &amp; TCO!B4 &amp; " jaar:"</f>
        <v>De investering zijn ROI is na 5 jaar:</v>
      </c>
      <c r="J59" s="110">
        <f>G73</f>
        <v>1.6748466257668713</v>
      </c>
    </row>
    <row r="60" spans="1:17" x14ac:dyDescent="0.25">
      <c r="A60" s="119" t="s">
        <v>82</v>
      </c>
      <c r="B60" s="31"/>
      <c r="C60" s="106">
        <f>C48</f>
        <v>78880</v>
      </c>
      <c r="D60" s="106">
        <f>K48</f>
        <v>85400</v>
      </c>
      <c r="E60" s="92"/>
      <c r="F60" s="106"/>
      <c r="G60" s="106">
        <f>C60-D60</f>
        <v>-6520</v>
      </c>
      <c r="H60" s="57"/>
      <c r="I60" s="55" t="s">
        <v>63</v>
      </c>
      <c r="J60" s="111" t="str">
        <f>C78</f>
        <v>1 jaar en 6 maanden</v>
      </c>
      <c r="N60" s="57"/>
    </row>
    <row r="61" spans="1:17" x14ac:dyDescent="0.25">
      <c r="A61" s="31" t="s">
        <v>83</v>
      </c>
      <c r="B61" s="31"/>
      <c r="C61" s="106">
        <f>C51</f>
        <v>62720</v>
      </c>
      <c r="D61" s="106">
        <f>K51</f>
        <v>58360</v>
      </c>
      <c r="E61" s="92"/>
      <c r="F61" s="106"/>
      <c r="G61" s="106">
        <f>C61-D61</f>
        <v>4360</v>
      </c>
      <c r="H61" s="57"/>
      <c r="I61" s="55"/>
      <c r="J61" s="111"/>
    </row>
    <row r="62" spans="1:17" x14ac:dyDescent="0.25">
      <c r="A62" s="31"/>
      <c r="B62" s="31"/>
      <c r="C62" s="106"/>
      <c r="D62" s="106"/>
      <c r="E62" s="92"/>
      <c r="F62" s="106"/>
      <c r="G62" s="106"/>
      <c r="H62" s="57"/>
      <c r="I62" s="55"/>
      <c r="J62" s="111"/>
    </row>
    <row r="63" spans="1:17" x14ac:dyDescent="0.25">
      <c r="A63" s="55" t="s">
        <v>101</v>
      </c>
      <c r="B63" s="31"/>
      <c r="C63" s="106"/>
      <c r="D63" s="106"/>
      <c r="E63" s="92"/>
      <c r="F63" s="106"/>
      <c r="G63" s="106"/>
      <c r="H63" s="57"/>
      <c r="I63" s="55" t="s">
        <v>99</v>
      </c>
      <c r="J63" s="112">
        <f>G64</f>
        <v>2184</v>
      </c>
    </row>
    <row r="64" spans="1:17" ht="15.75" thickBot="1" x14ac:dyDescent="0.3">
      <c r="A64" s="119" t="str">
        <f>IF(G64&gt;=0, "Gemiddelde jaarlijkse besparing", "Gemiddelde jaarlijkse kost")</f>
        <v>Gemiddelde jaarlijkse besparing</v>
      </c>
      <c r="B64" s="31"/>
      <c r="C64" s="106"/>
      <c r="D64" s="106"/>
      <c r="E64" s="92"/>
      <c r="F64" s="92"/>
      <c r="G64" s="106">
        <f>(G60+(G61*G6))/G5</f>
        <v>2184</v>
      </c>
      <c r="H64" s="57"/>
      <c r="I64" s="55" t="str">
        <f>"Uitbesparing over " &amp; TCO!B4 &amp; " jaar"</f>
        <v>Uitbesparing over 5 jaar</v>
      </c>
      <c r="J64" s="112">
        <f>G65</f>
        <v>10920</v>
      </c>
    </row>
    <row r="65" spans="1:14" ht="15.75" thickBot="1" x14ac:dyDescent="0.3">
      <c r="A65" s="70" t="str">
        <f>IF(G65&gt;=0, "Besparing over " &amp; TCO!B4 &amp; " jaar", "Kost over " &amp; TCO!B4 &amp; " jaar")</f>
        <v>Besparing over 5 jaar</v>
      </c>
      <c r="B65" s="32"/>
      <c r="C65" s="80"/>
      <c r="D65" s="80"/>
      <c r="E65" s="80"/>
      <c r="F65" s="80"/>
      <c r="G65" s="107">
        <f>G60+(G61*G6)</f>
        <v>10920</v>
      </c>
      <c r="H65" s="57"/>
    </row>
    <row r="66" spans="1:14" x14ac:dyDescent="0.25">
      <c r="A66" s="31"/>
      <c r="B66" s="31"/>
      <c r="C66" s="92"/>
      <c r="D66" s="92"/>
      <c r="E66" s="92"/>
      <c r="F66" s="92"/>
      <c r="G66" s="92"/>
      <c r="H66" s="57"/>
    </row>
    <row r="67" spans="1:14" x14ac:dyDescent="0.25">
      <c r="A67" s="55" t="s">
        <v>61</v>
      </c>
      <c r="B67" s="55"/>
      <c r="C67" s="92"/>
      <c r="D67" s="92"/>
      <c r="E67" s="92"/>
      <c r="F67" s="92"/>
      <c r="G67" s="92"/>
      <c r="H67" s="57"/>
    </row>
    <row r="68" spans="1:14" x14ac:dyDescent="0.25">
      <c r="A68" s="31" t="s">
        <v>86</v>
      </c>
      <c r="B68" s="31"/>
      <c r="C68" s="92">
        <f>E49</f>
        <v>1096</v>
      </c>
      <c r="D68" s="92">
        <f>M49</f>
        <v>1000</v>
      </c>
      <c r="E68" s="92"/>
      <c r="F68" s="92"/>
      <c r="G68" s="92">
        <f>C68-D68</f>
        <v>96</v>
      </c>
      <c r="H68" s="57"/>
      <c r="I68" s="57"/>
    </row>
    <row r="69" spans="1:14" ht="15.75" thickBot="1" x14ac:dyDescent="0.3">
      <c r="A69" s="31" t="s">
        <v>87</v>
      </c>
      <c r="B69" s="31"/>
      <c r="C69" s="92">
        <f>E52</f>
        <v>872</v>
      </c>
      <c r="D69" s="92">
        <f>M52</f>
        <v>664</v>
      </c>
      <c r="E69" s="92"/>
      <c r="F69" s="92"/>
      <c r="G69" s="92">
        <f>C69-D69</f>
        <v>208</v>
      </c>
      <c r="I69" s="57"/>
      <c r="J69" s="57"/>
    </row>
    <row r="70" spans="1:14" ht="15.75" thickBot="1" x14ac:dyDescent="0.3">
      <c r="A70" s="70" t="str">
        <f>"Urenbesparing over " &amp; TCO!B4 &amp; " jaar"</f>
        <v>Urenbesparing over 5 jaar</v>
      </c>
      <c r="B70" s="32"/>
      <c r="C70" s="80"/>
      <c r="D70" s="80"/>
      <c r="E70" s="80"/>
      <c r="F70" s="80"/>
      <c r="G70" s="108">
        <f>G68+(G69*G6)</f>
        <v>928</v>
      </c>
    </row>
    <row r="71" spans="1:14" x14ac:dyDescent="0.25">
      <c r="A71" s="31"/>
      <c r="B71" s="31"/>
      <c r="C71" s="92"/>
      <c r="D71" s="92"/>
      <c r="E71" s="92"/>
      <c r="F71" s="92"/>
      <c r="G71" s="92"/>
      <c r="I71" s="57"/>
    </row>
    <row r="72" spans="1:14" ht="15.75" thickBot="1" x14ac:dyDescent="0.3">
      <c r="A72" s="55" t="s">
        <v>62</v>
      </c>
      <c r="B72" s="55"/>
      <c r="C72" s="92"/>
      <c r="D72" s="92"/>
      <c r="E72" s="92"/>
      <c r="F72" s="92"/>
      <c r="G72" s="92"/>
      <c r="J72" s="57"/>
    </row>
    <row r="73" spans="1:14" ht="16.149999999999999" customHeight="1" thickBot="1" x14ac:dyDescent="0.3">
      <c r="A73" s="70" t="str">
        <f>"ROI op " &amp; TCO!B4 &amp; " jaar"</f>
        <v>ROI op 5 jaar</v>
      </c>
      <c r="B73" s="32"/>
      <c r="C73" s="80"/>
      <c r="D73" s="80"/>
      <c r="E73" s="80"/>
      <c r="F73" s="80"/>
      <c r="G73" s="109">
        <f>(G61*G6 -ABS(G60))/ABS(G60)</f>
        <v>1.6748466257668713</v>
      </c>
      <c r="M73" s="56"/>
      <c r="N73" s="56"/>
    </row>
    <row r="74" spans="1:14" x14ac:dyDescent="0.25">
      <c r="A74" s="31"/>
      <c r="B74" s="31"/>
      <c r="C74" s="92"/>
      <c r="D74" s="92"/>
      <c r="E74" s="92"/>
      <c r="F74" s="92"/>
      <c r="G74" s="92"/>
      <c r="K74" s="56"/>
      <c r="L74" s="56"/>
      <c r="M74" s="56"/>
      <c r="N74" s="56"/>
    </row>
    <row r="75" spans="1:14" ht="15.75" thickBot="1" x14ac:dyDescent="0.3">
      <c r="A75" s="55" t="s">
        <v>9</v>
      </c>
      <c r="B75" s="55"/>
      <c r="C75" s="92"/>
      <c r="D75" s="92"/>
      <c r="E75" s="92"/>
      <c r="F75" s="92"/>
      <c r="G75" s="92"/>
    </row>
    <row r="76" spans="1:14" ht="15.75" thickBot="1" x14ac:dyDescent="0.3">
      <c r="A76" s="70" t="s">
        <v>9</v>
      </c>
      <c r="B76" s="32"/>
      <c r="C76" s="80"/>
      <c r="D76" s="80"/>
      <c r="E76" s="80"/>
      <c r="F76" s="80"/>
      <c r="G76" s="121">
        <f>ABS(G60)/G61</f>
        <v>1.4954128440366972</v>
      </c>
    </row>
    <row r="77" spans="1:14" ht="15.75" thickBot="1" x14ac:dyDescent="0.3">
      <c r="A77" s="31"/>
      <c r="B77" s="31"/>
      <c r="C77" s="92"/>
      <c r="D77" s="92"/>
      <c r="E77" s="92"/>
      <c r="F77" s="92"/>
      <c r="G77" s="92"/>
    </row>
    <row r="78" spans="1:14" ht="45.75" thickBot="1" x14ac:dyDescent="0.3">
      <c r="A78" s="71" t="s">
        <v>100</v>
      </c>
      <c r="B78" s="32"/>
      <c r="C78" s="80" t="str">
        <f>IF(G76&lt;0,
    "De investering kan niet terugverdiend worden binnen de voorziene gebruiksduur.",
    IF(ROUND((G76-TRUNC(G76))*12,0)=12,
        (TRUNC(G76)+1) &amp; " jaar en 0 maanden",
        TRUNC(G76) &amp; " jaar en " &amp; ROUND((G76-TRUNC(G76))*12,0) &amp; " maanden"
    )
)</f>
        <v>1 jaar en 6 maanden</v>
      </c>
      <c r="D78" s="81"/>
      <c r="E78" s="80"/>
      <c r="F78" s="80"/>
      <c r="G78" s="108"/>
      <c r="K78" s="1"/>
      <c r="L78" s="1"/>
    </row>
    <row r="79" spans="1:14" ht="15.75" customHeight="1" x14ac:dyDescent="0.25">
      <c r="K79" s="1"/>
      <c r="L79" s="1"/>
    </row>
    <row r="80" spans="1:14" ht="18.75" customHeight="1" x14ac:dyDescent="0.25"/>
    <row r="81" spans="7:12" ht="33" customHeight="1" x14ac:dyDescent="0.25"/>
    <row r="82" spans="7:12" ht="28.5" customHeight="1" x14ac:dyDescent="0.25">
      <c r="K82" s="1"/>
      <c r="L82" s="1"/>
    </row>
    <row r="84" spans="7:12" x14ac:dyDescent="0.25">
      <c r="I84" s="57"/>
      <c r="J84" s="57"/>
      <c r="K84" s="57"/>
      <c r="L84" s="57"/>
    </row>
    <row r="85" spans="7:12" ht="27.75" customHeight="1" x14ac:dyDescent="0.25"/>
    <row r="87" spans="7:12" x14ac:dyDescent="0.25">
      <c r="K87" s="57"/>
      <c r="L87" s="57"/>
    </row>
    <row r="89" spans="7:12" ht="12" customHeight="1" x14ac:dyDescent="0.25"/>
    <row r="90" spans="7:12" x14ac:dyDescent="0.25">
      <c r="G90" s="57"/>
    </row>
    <row r="106" spans="7:7" x14ac:dyDescent="0.25">
      <c r="G106" s="1"/>
    </row>
    <row r="125" spans="8:10" x14ac:dyDescent="0.25">
      <c r="H125" s="3"/>
      <c r="I125" s="3"/>
      <c r="J125" s="3"/>
    </row>
  </sheetData>
  <mergeCells count="16">
    <mergeCell ref="J47:K47"/>
    <mergeCell ref="L47:M47"/>
    <mergeCell ref="D47:E47"/>
    <mergeCell ref="B47:C47"/>
    <mergeCell ref="J9:K9"/>
    <mergeCell ref="L9:M9"/>
    <mergeCell ref="D40:E40"/>
    <mergeCell ref="B40:C40"/>
    <mergeCell ref="B9:C9"/>
    <mergeCell ref="D9:E9"/>
    <mergeCell ref="N9:O9"/>
    <mergeCell ref="L40:M40"/>
    <mergeCell ref="J40:K40"/>
    <mergeCell ref="N40:O40"/>
    <mergeCell ref="F40:G40"/>
    <mergeCell ref="F9:G9"/>
  </mergeCells>
  <pageMargins left="0.7" right="0.7" top="0.75" bottom="0.75" header="0.3" footer="0.3"/>
  <pageSetup paperSize="9"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9904C-54DE-4480-A123-DFD91E04C31D}">
  <dimension ref="A1:H12"/>
  <sheetViews>
    <sheetView workbookViewId="0">
      <selection activeCell="G17" sqref="G17"/>
    </sheetView>
  </sheetViews>
  <sheetFormatPr defaultRowHeight="15" x14ac:dyDescent="0.25"/>
  <cols>
    <col min="1" max="2" width="25.42578125" bestFit="1" customWidth="1"/>
    <col min="3" max="3" width="10.42578125" bestFit="1" customWidth="1"/>
    <col min="4" max="4" width="11.85546875" bestFit="1" customWidth="1"/>
    <col min="5" max="5" width="11.42578125" bestFit="1" customWidth="1"/>
    <col min="7" max="7" width="32.85546875" bestFit="1" customWidth="1"/>
    <col min="8" max="8" width="73" bestFit="1" customWidth="1"/>
    <col min="9" max="9" width="29.28515625" bestFit="1" customWidth="1"/>
    <col min="10" max="10" width="17.5703125" bestFit="1" customWidth="1"/>
  </cols>
  <sheetData>
    <row r="1" spans="1:8" ht="24" x14ac:dyDescent="0.4">
      <c r="A1" s="17" t="s">
        <v>108</v>
      </c>
    </row>
    <row r="4" spans="1:8" ht="18.75" x14ac:dyDescent="0.3">
      <c r="A4" s="73" t="s">
        <v>8</v>
      </c>
      <c r="G4" s="73" t="s">
        <v>62</v>
      </c>
    </row>
    <row r="6" spans="1:8" ht="15.75" x14ac:dyDescent="0.25">
      <c r="A6" s="44" t="s">
        <v>65</v>
      </c>
      <c r="B6" s="115">
        <f>TCO!J5</f>
        <v>0.3</v>
      </c>
      <c r="C6" s="116"/>
      <c r="D6" s="116">
        <f>B6</f>
        <v>0.3</v>
      </c>
      <c r="G6" s="44" t="s">
        <v>73</v>
      </c>
      <c r="H6" s="44"/>
    </row>
    <row r="7" spans="1:8" x14ac:dyDescent="0.25">
      <c r="A7" s="29" t="s">
        <v>66</v>
      </c>
      <c r="B7" s="87">
        <f>TCO!J6</f>
        <v>5400</v>
      </c>
      <c r="C7" s="19"/>
      <c r="D7" s="87">
        <f>TCO!L6</f>
        <v>12600</v>
      </c>
      <c r="G7" s="31" t="str">
        <f>ROI!I59</f>
        <v>De investering zijn ROI is na 5 jaar:</v>
      </c>
      <c r="H7" s="117">
        <f>ROI!J59</f>
        <v>1.6748466257668713</v>
      </c>
    </row>
    <row r="8" spans="1:8" x14ac:dyDescent="0.25">
      <c r="A8" s="18" t="str">
        <f>TCO!I7</f>
        <v>Korting over 5 jaar</v>
      </c>
      <c r="B8" s="88">
        <f>TCO!J7</f>
        <v>27000</v>
      </c>
      <c r="C8" s="19"/>
      <c r="D8" s="88">
        <f>TCO!L7</f>
        <v>63000</v>
      </c>
      <c r="G8" s="55" t="s">
        <v>63</v>
      </c>
      <c r="H8" s="120" t="str">
        <f>ROI!C78</f>
        <v>1 jaar en 6 maanden</v>
      </c>
    </row>
    <row r="9" spans="1:8" x14ac:dyDescent="0.25">
      <c r="A9" s="18"/>
      <c r="B9" s="88"/>
      <c r="C9" s="19"/>
      <c r="D9" s="88"/>
      <c r="G9" s="31"/>
      <c r="H9" s="92"/>
    </row>
    <row r="10" spans="1:8" x14ac:dyDescent="0.25">
      <c r="A10" s="54" t="s">
        <v>14</v>
      </c>
      <c r="B10" s="89"/>
      <c r="C10" s="48"/>
      <c r="D10" s="89">
        <f>TCO!L9</f>
        <v>318840</v>
      </c>
      <c r="G10" s="31" t="str">
        <f>IF(H10&gt;=0, "Uitbesparing per jaar", "Extra kost per jaar")</f>
        <v>Uitbesparing per jaar</v>
      </c>
      <c r="H10" s="106">
        <f>ROI!J63</f>
        <v>2184</v>
      </c>
    </row>
    <row r="11" spans="1:8" x14ac:dyDescent="0.25">
      <c r="A11" s="54" t="s">
        <v>74</v>
      </c>
      <c r="B11" s="89"/>
      <c r="C11" s="48"/>
      <c r="D11" s="89">
        <f>TCO!L10</f>
        <v>85400</v>
      </c>
      <c r="G11" s="31" t="str">
        <f>IF(H11&gt;=0, "Uitbesparing over " &amp; TCO!B4 &amp; " jaar", "Extra kost over " &amp; TCO!B4 &amp; " jaar")</f>
        <v>Uitbesparing over 5 jaar</v>
      </c>
      <c r="H11" s="106">
        <f>ROI!J64</f>
        <v>10920</v>
      </c>
    </row>
    <row r="12" spans="1:8" x14ac:dyDescent="0.25">
      <c r="A12" s="54" t="s">
        <v>93</v>
      </c>
      <c r="B12" s="89"/>
      <c r="C12" s="48"/>
      <c r="D12" s="89">
        <f>TCO!L11</f>
        <v>58360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FBD1C-1FD4-492F-A34F-D2970357E991}">
  <dimension ref="A1"/>
  <sheetViews>
    <sheetView zoomScale="89" workbookViewId="0">
      <selection activeCell="L13" sqref="L13"/>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5</vt:i4>
      </vt:variant>
    </vt:vector>
  </HeadingPairs>
  <TitlesOfParts>
    <vt:vector size="5" baseType="lpstr">
      <vt:lpstr>Gebruikershandleiding</vt:lpstr>
      <vt:lpstr>TCO</vt:lpstr>
      <vt:lpstr>ROI</vt:lpstr>
      <vt:lpstr>Conclusie</vt:lpstr>
      <vt:lpstr>Auditdagen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Nalani Van Beemen</dc:creator>
  <cp:lastModifiedBy>Nalani Van Beemen</cp:lastModifiedBy>
  <dcterms:created xsi:type="dcterms:W3CDTF">2025-04-28T08:40:27Z</dcterms:created>
  <dcterms:modified xsi:type="dcterms:W3CDTF">2025-06-08T16:20:04Z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337be75-dfbb-4261-9834-ac247c7dde13_Enabled">
    <vt:lpwstr>true</vt:lpwstr>
  </property>
  <property fmtid="{D5CDD505-2E9C-101B-9397-08002B2CF9AE}" pid="3" name="MSIP_Label_c337be75-dfbb-4261-9834-ac247c7dde13_SetDate">
    <vt:lpwstr>2025-04-28T09:26:36Z</vt:lpwstr>
  </property>
  <property fmtid="{D5CDD505-2E9C-101B-9397-08002B2CF9AE}" pid="4" name="MSIP_Label_c337be75-dfbb-4261-9834-ac247c7dde13_Method">
    <vt:lpwstr>Standard</vt:lpwstr>
  </property>
  <property fmtid="{D5CDD505-2E9C-101B-9397-08002B2CF9AE}" pid="5" name="MSIP_Label_c337be75-dfbb-4261-9834-ac247c7dde13_Name">
    <vt:lpwstr>Algemeen</vt:lpwstr>
  </property>
  <property fmtid="{D5CDD505-2E9C-101B-9397-08002B2CF9AE}" pid="6" name="MSIP_Label_c337be75-dfbb-4261-9834-ac247c7dde13_SiteId">
    <vt:lpwstr>77d33cc5-c9b4-4766-95c7-ed5b515e1cce</vt:lpwstr>
  </property>
  <property fmtid="{D5CDD505-2E9C-101B-9397-08002B2CF9AE}" pid="7" name="MSIP_Label_c337be75-dfbb-4261-9834-ac247c7dde13_ActionId">
    <vt:lpwstr>eee33dd7-c98a-4ed2-a5cc-26f4245dcf8e</vt:lpwstr>
  </property>
  <property fmtid="{D5CDD505-2E9C-101B-9397-08002B2CF9AE}" pid="8" name="MSIP_Label_c337be75-dfbb-4261-9834-ac247c7dde13_ContentBits">
    <vt:lpwstr>0</vt:lpwstr>
  </property>
  <property fmtid="{D5CDD505-2E9C-101B-9397-08002B2CF9AE}" pid="9" name="MSIP_Label_c337be75-dfbb-4261-9834-ac247c7dde13_Tag">
    <vt:lpwstr>10, 3, 0, 1</vt:lpwstr>
  </property>
</Properties>
</file>