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thomasmore365-my.sharepoint.com/personal/r0882111_student_thomasmore_be/Documents/Academiejaar 4/STAGE - Infosentry/Nalani Van Beemen - r0882111 - bachelor proef/"/>
    </mc:Choice>
  </mc:AlternateContent>
  <xr:revisionPtr revIDLastSave="56" documentId="8_{562783BF-16D3-44F9-9FE7-5CECF78A91F7}" xr6:coauthVersionLast="47" xr6:coauthVersionMax="47" xr10:uidLastSave="{F02856E5-DA9E-4E4E-AFEE-5EB22E1D6207}"/>
  <bookViews>
    <workbookView xWindow="22932" yWindow="-108" windowWidth="23256" windowHeight="12456" activeTab="2" xr2:uid="{C527B78F-749D-4A40-B308-D548616E4AC2}"/>
  </bookViews>
  <sheets>
    <sheet name="Gebruikershandleiding" sheetId="7" r:id="rId1"/>
    <sheet name="TCO" sheetId="1" r:id="rId2"/>
    <sheet name="ROI" sheetId="2" r:id="rId3"/>
    <sheet name="Conclusie" sheetId="9" r:id="rId4"/>
    <sheet name="Auditdagen"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9" i="2" l="1"/>
  <c r="M48" i="2"/>
  <c r="E49" i="2"/>
  <c r="E48" i="2"/>
  <c r="A54" i="2"/>
  <c r="I54" i="2"/>
  <c r="B6" i="9"/>
  <c r="D6" i="9" s="1"/>
  <c r="I64" i="2"/>
  <c r="I59" i="2"/>
  <c r="G7" i="9" s="1"/>
  <c r="A73" i="2"/>
  <c r="A70" i="2"/>
  <c r="E35" i="1"/>
  <c r="E26" i="1"/>
  <c r="E18" i="1"/>
  <c r="E14" i="1"/>
  <c r="I7" i="1"/>
  <c r="A8" i="9" s="1"/>
  <c r="D28" i="1"/>
  <c r="D29" i="1" s="1"/>
  <c r="D20" i="1"/>
  <c r="D21" i="1" s="1"/>
  <c r="C28" i="1"/>
  <c r="C29" i="1" s="1"/>
  <c r="C20" i="1"/>
  <c r="C21" i="1" s="1"/>
  <c r="D30" i="1"/>
  <c r="L22" i="2"/>
  <c r="L37" i="2"/>
  <c r="J37" i="2"/>
  <c r="L36" i="2"/>
  <c r="J36" i="2"/>
  <c r="L29" i="2"/>
  <c r="J29" i="2"/>
  <c r="L28" i="2"/>
  <c r="J28" i="2"/>
  <c r="J22" i="2"/>
  <c r="L21" i="2"/>
  <c r="J21" i="2"/>
  <c r="L15" i="2"/>
  <c r="J15" i="2"/>
  <c r="L14" i="2"/>
  <c r="J14" i="2"/>
  <c r="D37" i="2"/>
  <c r="B37" i="2"/>
  <c r="D36" i="2"/>
  <c r="B36" i="2"/>
  <c r="D29" i="2"/>
  <c r="B29" i="2"/>
  <c r="D28" i="2"/>
  <c r="B28" i="2"/>
  <c r="D22" i="2"/>
  <c r="D21" i="2"/>
  <c r="B22" i="2"/>
  <c r="B21" i="2"/>
  <c r="D15" i="2"/>
  <c r="B15" i="2"/>
  <c r="D14" i="2"/>
  <c r="B14" i="2"/>
  <c r="F6" i="2"/>
  <c r="E37" i="1"/>
  <c r="E36" i="1"/>
  <c r="E15" i="1"/>
  <c r="D22" i="1"/>
  <c r="N37" i="2"/>
  <c r="N22" i="2"/>
  <c r="F37" i="2"/>
  <c r="F22" i="2"/>
  <c r="M37" i="2"/>
  <c r="M29" i="2"/>
  <c r="M22" i="2"/>
  <c r="M15" i="2"/>
  <c r="E37" i="2"/>
  <c r="E29" i="2"/>
  <c r="E22" i="2"/>
  <c r="E15" i="2"/>
  <c r="K37" i="2"/>
  <c r="K29" i="2"/>
  <c r="K22" i="2"/>
  <c r="K15" i="2"/>
  <c r="C37" i="2"/>
  <c r="C29" i="2"/>
  <c r="C22" i="2"/>
  <c r="C15" i="2"/>
  <c r="C30" i="1"/>
  <c r="C22" i="1"/>
  <c r="N36" i="2"/>
  <c r="M36" i="2"/>
  <c r="K36" i="2"/>
  <c r="M28" i="2"/>
  <c r="K28" i="2"/>
  <c r="N21" i="2"/>
  <c r="M21" i="2"/>
  <c r="K21" i="2"/>
  <c r="M14" i="2"/>
  <c r="K14" i="2"/>
  <c r="F36" i="2"/>
  <c r="F21" i="2"/>
  <c r="E36" i="2"/>
  <c r="E28" i="2"/>
  <c r="E21" i="2"/>
  <c r="C21" i="2"/>
  <c r="E14" i="2"/>
  <c r="C28" i="2"/>
  <c r="F5" i="2"/>
  <c r="C36" i="2"/>
  <c r="C14" i="2"/>
  <c r="L5" i="1"/>
  <c r="J6" i="1" s="1"/>
  <c r="L6" i="1" s="1"/>
  <c r="J45" i="2" s="1"/>
  <c r="B7" i="9" l="1"/>
  <c r="D7" i="9"/>
  <c r="L23" i="2"/>
  <c r="L43" i="2"/>
  <c r="J30" i="2"/>
  <c r="J38" i="2"/>
  <c r="L38" i="2"/>
  <c r="J23" i="2"/>
  <c r="L30" i="2"/>
  <c r="J43" i="2"/>
  <c r="J16" i="2"/>
  <c r="L16" i="2"/>
  <c r="D38" i="2"/>
  <c r="D43" i="2"/>
  <c r="B23" i="2"/>
  <c r="D30" i="2"/>
  <c r="B43" i="2"/>
  <c r="D16" i="2"/>
  <c r="B38" i="2"/>
  <c r="B30" i="2"/>
  <c r="D23" i="2"/>
  <c r="B16" i="2"/>
  <c r="M23" i="2"/>
  <c r="N23" i="2"/>
  <c r="F23" i="2"/>
  <c r="K23" i="2"/>
  <c r="K38" i="2"/>
  <c r="E23" i="2"/>
  <c r="K30" i="2"/>
  <c r="D23" i="1"/>
  <c r="N38" i="2"/>
  <c r="F38" i="2"/>
  <c r="M38" i="2"/>
  <c r="M30" i="2"/>
  <c r="M16" i="2"/>
  <c r="E38" i="2"/>
  <c r="E30" i="2"/>
  <c r="E16" i="2"/>
  <c r="K16" i="2"/>
  <c r="C38" i="2"/>
  <c r="C30" i="2"/>
  <c r="C23" i="2"/>
  <c r="C16" i="2"/>
  <c r="D31" i="1"/>
  <c r="C31" i="1"/>
  <c r="C23" i="1"/>
  <c r="J7" i="1"/>
  <c r="M43" i="2"/>
  <c r="N43" i="2"/>
  <c r="E43" i="2"/>
  <c r="C43" i="2"/>
  <c r="F43" i="2"/>
  <c r="K43" i="2"/>
  <c r="L7" i="1" l="1"/>
  <c r="D8" i="9" s="1"/>
  <c r="B8" i="9"/>
  <c r="K49" i="2"/>
  <c r="K52" i="2"/>
  <c r="C52" i="2"/>
  <c r="C49" i="2"/>
  <c r="L11" i="1"/>
  <c r="D12" i="9" s="1"/>
  <c r="G8" i="1"/>
  <c r="L10" i="1"/>
  <c r="D11" i="9" s="1"/>
  <c r="G7" i="1"/>
  <c r="E31" i="1"/>
  <c r="J42" i="2"/>
  <c r="D68" i="2"/>
  <c r="M52" i="2"/>
  <c r="D69" i="2" s="1"/>
  <c r="E52" i="2"/>
  <c r="C69" i="2" s="1"/>
  <c r="L42" i="2"/>
  <c r="C68" i="2"/>
  <c r="B42" i="2"/>
  <c r="D42" i="2"/>
  <c r="C42" i="2"/>
  <c r="E23" i="1"/>
  <c r="N42" i="2"/>
  <c r="F42" i="2"/>
  <c r="K42" i="2"/>
  <c r="E42" i="2"/>
  <c r="M42" i="2"/>
  <c r="G6" i="1" l="1"/>
  <c r="L9" i="1" s="1"/>
  <c r="D10" i="9" s="1"/>
  <c r="K48" i="2"/>
  <c r="D60" i="2" s="1"/>
  <c r="K51" i="2"/>
  <c r="C51" i="2"/>
  <c r="C61" i="2" s="1"/>
  <c r="C48" i="2"/>
  <c r="C60" i="2" s="1"/>
  <c r="M51" i="2"/>
  <c r="G68" i="2"/>
  <c r="G69" i="2"/>
  <c r="E51" i="2"/>
  <c r="D61" i="2" l="1"/>
  <c r="G60" i="2"/>
  <c r="B54" i="2"/>
  <c r="J54" i="2"/>
  <c r="G70" i="2"/>
  <c r="F3" i="2"/>
  <c r="G61" i="2" l="1"/>
  <c r="G65" i="2" l="1"/>
  <c r="G64" i="2"/>
  <c r="A64" i="2" s="1"/>
  <c r="G73" i="2"/>
  <c r="G76" i="2"/>
  <c r="C78" i="2" s="1"/>
  <c r="J63" i="2"/>
  <c r="H10" i="9" s="1"/>
  <c r="G10" i="9" s="1"/>
  <c r="J64" i="2" l="1"/>
  <c r="H11" i="9" s="1"/>
  <c r="G11" i="9" s="1"/>
  <c r="A65" i="2"/>
  <c r="J59" i="2"/>
  <c r="H7" i="9" s="1"/>
  <c r="H8" i="9"/>
  <c r="J60" i="2"/>
</calcChain>
</file>

<file path=xl/sharedStrings.xml><?xml version="1.0" encoding="utf-8"?>
<sst xmlns="http://schemas.openxmlformats.org/spreadsheetml/2006/main" count="199" uniqueCount="125">
  <si>
    <t>Relevante kosten</t>
  </si>
  <si>
    <t>Licentiekosten</t>
  </si>
  <si>
    <t>Bedrag</t>
  </si>
  <si>
    <t>Frequentie</t>
  </si>
  <si>
    <t>Gebruiksduur</t>
  </si>
  <si>
    <t>Jaren</t>
  </si>
  <si>
    <t>Jaarlijks</t>
  </si>
  <si>
    <t>Eénmalig</t>
  </si>
  <si>
    <t>TCO</t>
  </si>
  <si>
    <t>Break even point</t>
  </si>
  <si>
    <t>Andere éénmalige kosten</t>
  </si>
  <si>
    <t>Andere jaarlijkse kosten</t>
  </si>
  <si>
    <t>Total Cost of Ownership</t>
  </si>
  <si>
    <t>Gebruiksduur in jaren</t>
  </si>
  <si>
    <t>TCO NA KORTING</t>
  </si>
  <si>
    <t xml:space="preserve">Return On Investment </t>
  </si>
  <si>
    <t xml:space="preserve">     - TOTAAL aantal uren</t>
  </si>
  <si>
    <t xml:space="preserve">     -  Werkuren per dag</t>
  </si>
  <si>
    <t xml:space="preserve">     -  Aantal dagen</t>
  </si>
  <si>
    <t xml:space="preserve">      -  Aantal dagen</t>
  </si>
  <si>
    <t xml:space="preserve">      -  Werkuren per dag</t>
  </si>
  <si>
    <t>Audit voorbereiding met ACT</t>
  </si>
  <si>
    <t xml:space="preserve">      - TOTAAL aantal uren</t>
  </si>
  <si>
    <t xml:space="preserve">OVERZICHT </t>
  </si>
  <si>
    <t xml:space="preserve">Inspanning interne werknemer </t>
  </si>
  <si>
    <t xml:space="preserve">    -  Werkuren per dag</t>
  </si>
  <si>
    <t xml:space="preserve">    -  Aantal dagen</t>
  </si>
  <si>
    <t xml:space="preserve">    -  TOTAAL aantal uren</t>
  </si>
  <si>
    <t xml:space="preserve">    -  Bruto uurloon</t>
  </si>
  <si>
    <t>Bruto kosten interne werknemer</t>
  </si>
  <si>
    <t>Inspanning externe consultant</t>
  </si>
  <si>
    <t xml:space="preserve">    - TOTAAL aantal uren</t>
  </si>
  <si>
    <t xml:space="preserve">Bruto kosten externe consultant </t>
  </si>
  <si>
    <t>Interne audit ZONDER ACT</t>
  </si>
  <si>
    <t>RESERVE voor onverwachte kosten</t>
  </si>
  <si>
    <t>OVERZICHT</t>
  </si>
  <si>
    <t xml:space="preserve">    - Bruto uurloon </t>
  </si>
  <si>
    <t>ACT = Automated Compliance Tool</t>
  </si>
  <si>
    <t>Welkom!</t>
  </si>
  <si>
    <t>Interne werknemer</t>
  </si>
  <si>
    <t xml:space="preserve">Externe consultant </t>
  </si>
  <si>
    <t xml:space="preserve">Auditor </t>
  </si>
  <si>
    <t>Voorbereiding interne audit zonder ACT</t>
  </si>
  <si>
    <t>Audit voorbereiding zonder ACT</t>
  </si>
  <si>
    <t>Bruto kosten interne audit zonder ACT</t>
  </si>
  <si>
    <t>Voorbereiding externe audit zonder ACT</t>
  </si>
  <si>
    <t>Externe audit zonder ACT</t>
  </si>
  <si>
    <t>Bruto kosten externe audit zonder ACT</t>
  </si>
  <si>
    <t>TOTAAL AUDIT KOSTEN zonder ACT</t>
  </si>
  <si>
    <t>Voorbereiding interne audit met ACT</t>
  </si>
  <si>
    <t>Interne audit met ACT</t>
  </si>
  <si>
    <t>Bruto kosten interne audit met ACT</t>
  </si>
  <si>
    <t>Voorbereiding externe audit met ACT</t>
  </si>
  <si>
    <t>Externe audit met ACT</t>
  </si>
  <si>
    <t>Bruto kosten externe audit met ACT</t>
  </si>
  <si>
    <t>TOTAAL AUDIT KOSTEN met ACT</t>
  </si>
  <si>
    <t xml:space="preserve">Deze Excel-sheet is ontwikkeld om een realistisch beeld te geven van het gebruik en de impact van geautomatiseerde compliance tools binnen een organisatie. Het doel is om, samen met Infosentry en eventueel in aanwezigheid van de klant, tot een goed onderbouwde inschatting te komen van de kosten en inspanningen op korte en lange termijn.
</t>
  </si>
  <si>
    <t>TOTAAL AUDIT UREN zonder ACT</t>
  </si>
  <si>
    <t>TOTAAL AUDIT UREN met ACT</t>
  </si>
  <si>
    <t xml:space="preserve">     - Bruto uurloon</t>
  </si>
  <si>
    <t xml:space="preserve">      - Bruto uurloon</t>
  </si>
  <si>
    <t>Uren</t>
  </si>
  <si>
    <t>ROI</t>
  </si>
  <si>
    <t>De investering is terugbetaald na</t>
  </si>
  <si>
    <t>Certificeringskosten ZONDER ACT</t>
  </si>
  <si>
    <t>KORTING op licentiekosten</t>
  </si>
  <si>
    <t>Korting per jaar</t>
  </si>
  <si>
    <t>Vaste uurlonen</t>
  </si>
  <si>
    <t xml:space="preserve">Interne werknemer </t>
  </si>
  <si>
    <t xml:space="preserve">BUILD - 1ste jaar </t>
  </si>
  <si>
    <t xml:space="preserve">RUN - volgende jaren </t>
  </si>
  <si>
    <t>Bedrag in eerste jaar</t>
  </si>
  <si>
    <t>Jaarlijks volgende kosten</t>
  </si>
  <si>
    <t xml:space="preserve">CONCLUSIE </t>
  </si>
  <si>
    <t>Bedrag eerste jaar</t>
  </si>
  <si>
    <t>BUILD</t>
  </si>
  <si>
    <t>RUN</t>
  </si>
  <si>
    <t>Externe consultant</t>
  </si>
  <si>
    <t>Uren BUILD</t>
  </si>
  <si>
    <t>Uren RUN</t>
  </si>
  <si>
    <t xml:space="preserve">Externe consulant </t>
  </si>
  <si>
    <t>Auditor</t>
  </si>
  <si>
    <t>Auditkosten BUILD</t>
  </si>
  <si>
    <t>Auditkosten RUN</t>
  </si>
  <si>
    <t>Zonder ACT</t>
  </si>
  <si>
    <t>MET ACT</t>
  </si>
  <si>
    <t>Audit uren per jaar BUILD</t>
  </si>
  <si>
    <t>Audit uren per jaar RUN</t>
  </si>
  <si>
    <t xml:space="preserve">Certificeringskosten MET ACT </t>
  </si>
  <si>
    <t>Stap 1: verwachte gebruiksduur van de tool, standaard 3 jaar</t>
  </si>
  <si>
    <t>Stap 2: uurlonen vastleggen</t>
  </si>
  <si>
    <t>Stap 3: licentiekosten invullen</t>
  </si>
  <si>
    <t>Totaal personeelskosten BUILD</t>
  </si>
  <si>
    <t>Totaal personeelskosten RUN</t>
  </si>
  <si>
    <t>Jaarlijks kosten volgende jaren</t>
  </si>
  <si>
    <t>Excl. Auditorkosten</t>
  </si>
  <si>
    <t>Incl. Auditorkosten</t>
  </si>
  <si>
    <t>Jaarlijkse licentiekost</t>
  </si>
  <si>
    <t>Overige jaren - RUN</t>
  </si>
  <si>
    <t>Tabblad TCO</t>
  </si>
  <si>
    <t>Uitbesparing per jaar</t>
  </si>
  <si>
    <t>De investering is terugverdiend na 
Hierna is de investering enkel maar kostenbesparend.</t>
  </si>
  <si>
    <t>Uitbesparing of kost</t>
  </si>
  <si>
    <t xml:space="preserve">Stap 4: EVENTUELE onverwachte kosten kunnen hier ingegeven worden, zowel jaarlijkse als eenmalige. </t>
  </si>
  <si>
    <t>Stap 5: Kosten en uren bepalen van jaarlijks certificeringsproces ZONDER ACT</t>
  </si>
  <si>
    <t>Stap 6: Kosten en uren bepalen van jaarlijks certificeringsproces MET ACT</t>
  </si>
  <si>
    <t>Tablad ROI</t>
  </si>
  <si>
    <t xml:space="preserve">Opgelet, er wordt een onderscheid gemaakt tussen de BUILD fase en RUN fase. De BUILD fase staat voor de periode waarin het certificeringsproces de eerste keer wordt opgestart, de volledige voorbereiding. Hiervoor rekenen we 1 jaar, het eerste jaar. Wanneer het volledige proces een eerste keer is doorlopen schakelen we over naar de RUN fase. Dit zijn alle certificeringsjaren die volgen. Het is logisch dat in het eerste jaar de werkdruk hoog is maar deze neemt af in de RUN jaren. </t>
  </si>
  <si>
    <t xml:space="preserve">Wanneer de beide tabellen volledig ingevuld zijn weten we ook de TCO. De TCO wordt berekend op basis van de licentiekosten, gebruiksduur en personeelskosten. De personeelskosten worden overgenomen uit de tabel van stap 5. Hier hebben we een realistische situatie geschetst met de inspanningen van de verschillende profielen doorheen het proces. Deze inschatting gebruiken we om de TCO te berekenen. </t>
  </si>
  <si>
    <t>Conclusie - aankopen van Automated Compliance Tool</t>
  </si>
  <si>
    <t>Stap 7: Korting op licentiekosten</t>
  </si>
  <si>
    <t>Tablad Conclusie</t>
  </si>
  <si>
    <t xml:space="preserve">Tip:  In het werkblad 'Auditdagen' kan u een tabel terugvinden met de geschatte auditdagen naar gelang de grootte van het bedrijf, dit kan u helpen bij het invullen om een realistische situatie te bekomen. </t>
  </si>
  <si>
    <r>
      <rPr>
        <b/>
        <sz val="12"/>
        <color rgb="FF81C9AD"/>
        <rFont val="Aptos Narrow"/>
        <family val="2"/>
        <scheme val="minor"/>
      </rPr>
      <t>Stap 3:</t>
    </r>
    <r>
      <rPr>
        <sz val="12"/>
        <color theme="1"/>
        <rFont val="Aptos Narrow"/>
        <family val="2"/>
        <scheme val="minor"/>
      </rPr>
      <t xml:space="preserve"> Vul hier de effectieve jaarlijkse licentiekosten in om de tool te gebruiken. </t>
    </r>
  </si>
  <si>
    <r>
      <rPr>
        <b/>
        <sz val="12"/>
        <color rgb="FF81C9AD"/>
        <rFont val="Aptos Narrow"/>
        <family val="2"/>
        <scheme val="minor"/>
      </rPr>
      <t>(Stap 4):</t>
    </r>
    <r>
      <rPr>
        <sz val="12"/>
        <color theme="1"/>
        <rFont val="Aptos Narrow"/>
        <family val="2"/>
        <scheme val="minor"/>
      </rPr>
      <t xml:space="preserve"> Hier heb je de mogelijkheid om </t>
    </r>
    <r>
      <rPr>
        <b/>
        <sz val="12"/>
        <color theme="1"/>
        <rFont val="Aptos Narrow"/>
        <family val="2"/>
        <scheme val="minor"/>
      </rPr>
      <t>eventueel</t>
    </r>
    <r>
      <rPr>
        <sz val="12"/>
        <color theme="1"/>
        <rFont val="Aptos Narrow"/>
        <family val="2"/>
        <scheme val="minor"/>
      </rPr>
      <t xml:space="preserve"> nog andere kosten door te rekenen. Deze kosten kunnen op jaarbasis of eenmalig aangerekend worden.</t>
    </r>
  </si>
  <si>
    <r>
      <rPr>
        <b/>
        <sz val="12"/>
        <color rgb="FF81C9AD"/>
        <rFont val="Aptos Narrow"/>
        <family val="2"/>
        <scheme val="minor"/>
      </rPr>
      <t>Stap 5:</t>
    </r>
    <r>
      <rPr>
        <sz val="12"/>
        <color theme="1"/>
        <rFont val="Aptos Narrow"/>
        <family val="2"/>
        <scheme val="minor"/>
      </rPr>
      <t xml:space="preserve"> Hier schat je in hoeveel tijd de BUILD fase inneemt alsook de RUN fase zonder het gebruik van een automated compliance tool. Bepaal het aantal werkuren dat nodig zijn in beide fases voor zowel de interne medewerker in de organisatie, als de externe consultant alsook de auditor. </t>
    </r>
  </si>
  <si>
    <r>
      <rPr>
        <b/>
        <sz val="12"/>
        <color rgb="FF81C9AD"/>
        <rFont val="Aptos Narrow"/>
        <family val="2"/>
        <scheme val="minor"/>
      </rPr>
      <t>Stap 7:</t>
    </r>
    <r>
      <rPr>
        <sz val="12"/>
        <color theme="1"/>
        <rFont val="Aptos Narrow"/>
        <family val="2"/>
        <scheme val="minor"/>
      </rPr>
      <t xml:space="preserve"> Tot slot is er hier nog een mogelijkheid voorzien tot korting. Deze korting is enkel van toepassing op de licentiekosten en kan ingevuld worden in werkblad TCO onder Korting. Hierdoor veranderen natuurlijk alle cijfers en komen we uit op een nieuwe TCO, ROI en break-even point. </t>
    </r>
  </si>
  <si>
    <t>Kosten excl. Auditorkosten</t>
  </si>
  <si>
    <t>Totaal personeelskosten BUILD incl. licentiekosten</t>
  </si>
  <si>
    <t>Totaal personeelskosten RUN incl. licentiekosten</t>
  </si>
  <si>
    <r>
      <t xml:space="preserve">Praktisch: vul enkel de getallen in die vet en schuingedrukt staan, zoals </t>
    </r>
    <r>
      <rPr>
        <b/>
        <i/>
        <sz val="11"/>
        <color theme="1"/>
        <rFont val="Aptos Narrow"/>
        <family val="2"/>
        <scheme val="minor"/>
      </rPr>
      <t>105</t>
    </r>
    <r>
      <rPr>
        <sz val="11"/>
        <color theme="1"/>
        <rFont val="Aptos Narrow"/>
        <family val="2"/>
        <scheme val="minor"/>
      </rPr>
      <t xml:space="preserve">. De overige  getallen worden automatisch berekend. </t>
    </r>
  </si>
  <si>
    <r>
      <rPr>
        <b/>
        <sz val="12"/>
        <color rgb="FF81C9AD"/>
        <rFont val="Aptos Narrow"/>
        <family val="2"/>
        <scheme val="minor"/>
      </rPr>
      <t>Stap 1:</t>
    </r>
    <r>
      <rPr>
        <sz val="12"/>
        <color theme="1"/>
        <rFont val="Aptos Narrow"/>
        <family val="2"/>
        <scheme val="minor"/>
      </rPr>
      <t xml:space="preserve"> Schat in hoelang je verwacht de tool te gebruiken, standaard staat dit op 3 jaar maar dit kan aangepast worden naargelang de wensen. Ook later in het proces kan dit steeds aangepast worden om een beter beeld te krijgen.</t>
    </r>
  </si>
  <si>
    <r>
      <rPr>
        <b/>
        <sz val="12"/>
        <color rgb="FF81C9AD"/>
        <rFont val="Aptos Narrow"/>
        <family val="2"/>
        <scheme val="minor"/>
      </rPr>
      <t xml:space="preserve">Stap 2: </t>
    </r>
    <r>
      <rPr>
        <sz val="12"/>
        <color theme="1"/>
        <rFont val="Aptos Narrow"/>
        <family val="2"/>
        <scheme val="minor"/>
      </rPr>
      <t>Leg de uurlonen vast van de interne medewerker in de organisatie die compliance op zich neemt, het uurloon van de externe consultant die wordt ingehuurd als ondersteuning en tot slot het uurloon van de aangestelde auditor die de externe audit gaat uitvoeren.</t>
    </r>
  </si>
  <si>
    <r>
      <rPr>
        <b/>
        <sz val="12"/>
        <color rgb="FF81C9AD"/>
        <rFont val="Aptos Narrow"/>
        <family val="2"/>
        <scheme val="minor"/>
      </rPr>
      <t>Stap 6:</t>
    </r>
    <r>
      <rPr>
        <sz val="12"/>
        <color theme="1"/>
        <rFont val="Aptos Narrow"/>
        <family val="2"/>
        <scheme val="minor"/>
      </rPr>
      <t xml:space="preserve"> Ook hier doen we hetzelfde als in stap 5. Alleen kijken we het proces nu vanuit een perspectief waarbij we WEL een automated compliance tool gebruiken. Schat ook hier in hoe lang het BUILD proces duurt en vervolgens de RUN.</t>
    </r>
  </si>
  <si>
    <t>In Conclusie komt alles samen, hier wordt weergegeven wat de TCO over een bepaalde gebruiksperiode is. Hoe snel de organisatie deze investering heeft terugveriend, het break-even point. En hoeveel ze uitsparen per jaar en over de volledige gebruiksduur. Op basis van deze cijfers kan een overwogen beslissing genomen worden.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</si>
</sst>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quot;€&quot;\ #,##0.00"/>
    <numFmt numFmtId="165" formatCode="#,##0_ ;\-#,##0\ "/>
  </numFmts>
  <fonts count="18"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
      <sz val="18"/>
      <color theme="5" tint="-0.249977111117893"/>
      <name val="Aptos Narrow"/>
      <family val="2"/>
      <scheme val="minor"/>
    </font>
    <font>
      <sz val="24"/>
      <color theme="5" tint="-0.249977111117893"/>
      <name val="Aptos Narrow"/>
      <family val="2"/>
      <scheme val="minor"/>
    </font>
    <font>
      <sz val="12"/>
      <color theme="1"/>
      <name val="Aptos Narrow"/>
      <family val="2"/>
      <scheme val="minor"/>
    </font>
    <font>
      <sz val="12"/>
      <color theme="0"/>
      <name val="Aptos Narrow"/>
      <family val="2"/>
      <scheme val="minor"/>
    </font>
    <font>
      <b/>
      <i/>
      <sz val="11"/>
      <color theme="1"/>
      <name val="Aptos Narrow"/>
      <family val="2"/>
      <scheme val="minor"/>
    </font>
    <font>
      <sz val="24"/>
      <color rgb="FF81C9AD"/>
      <name val="Aptos Narrow"/>
      <family val="2"/>
      <scheme val="minor"/>
    </font>
    <font>
      <sz val="12"/>
      <color rgb="FFB8DFCF"/>
      <name val="Aptos Narrow"/>
      <family val="2"/>
      <scheme val="minor"/>
    </font>
    <font>
      <b/>
      <sz val="14"/>
      <color rgb="FF81C9AD"/>
      <name val="Aptos Narrow"/>
      <family val="2"/>
      <scheme val="minor"/>
    </font>
    <font>
      <sz val="18"/>
      <color rgb="FF81C9AD"/>
      <name val="Aptos Narrow"/>
      <family val="2"/>
      <scheme val="minor"/>
    </font>
    <font>
      <sz val="12"/>
      <color rgb="FF81C9AD"/>
      <name val="Aptos Narrow"/>
      <family val="2"/>
      <scheme val="minor"/>
    </font>
    <font>
      <b/>
      <i/>
      <sz val="12"/>
      <color theme="0"/>
      <name val="Aptos Narrow"/>
      <family val="2"/>
      <scheme val="minor"/>
    </font>
    <font>
      <b/>
      <sz val="12"/>
      <color theme="1"/>
      <name val="Aptos Narrow"/>
      <family val="2"/>
      <scheme val="minor"/>
    </font>
    <font>
      <sz val="14"/>
      <color theme="1"/>
      <name val="Aptos Narrow"/>
      <family val="2"/>
      <scheme val="minor"/>
    </font>
    <font>
      <b/>
      <sz val="12"/>
      <color rgb="FF81C9AD"/>
      <name val="Aptos Narrow"/>
      <family val="2"/>
      <scheme val="minor"/>
    </font>
  </fonts>
  <fills count="10">
    <fill>
      <patternFill patternType="none"/>
    </fill>
    <fill>
      <patternFill patternType="gray125"/>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rgb="FFB8DFCF"/>
        <bgColor indexed="64"/>
      </patternFill>
    </fill>
    <fill>
      <patternFill patternType="solid">
        <fgColor rgb="FF81C9AD"/>
        <bgColor indexed="64"/>
      </patternFill>
    </fill>
    <fill>
      <patternFill patternType="solid">
        <fgColor rgb="FFDFF1EA"/>
        <bgColor indexed="64"/>
      </patternFill>
    </fill>
    <fill>
      <patternFill patternType="solid">
        <fgColor rgb="FFAADAC8"/>
        <bgColor indexed="64"/>
      </patternFill>
    </fill>
  </fills>
  <borders count="15">
    <border>
      <left/>
      <right/>
      <top/>
      <bottom/>
      <diagonal/>
    </border>
    <border>
      <left style="medium">
        <color rgb="FF81C9AD"/>
      </left>
      <right/>
      <top style="medium">
        <color rgb="FF81C9AD"/>
      </top>
      <bottom style="medium">
        <color rgb="FF81C9AD"/>
      </bottom>
      <diagonal/>
    </border>
    <border>
      <left/>
      <right/>
      <top style="medium">
        <color rgb="FF81C9AD"/>
      </top>
      <bottom style="medium">
        <color rgb="FF81C9AD"/>
      </bottom>
      <diagonal/>
    </border>
    <border>
      <left/>
      <right style="medium">
        <color rgb="FF81C9AD"/>
      </right>
      <top style="medium">
        <color rgb="FF81C9AD"/>
      </top>
      <bottom style="medium">
        <color rgb="FF81C9AD"/>
      </bottom>
      <diagonal/>
    </border>
    <border>
      <left style="medium">
        <color rgb="FF81C9AD"/>
      </left>
      <right/>
      <top/>
      <bottom/>
      <diagonal/>
    </border>
    <border>
      <left style="medium">
        <color rgb="FF81C9AD"/>
      </left>
      <right/>
      <top style="medium">
        <color rgb="FF81C9AD"/>
      </top>
      <bottom/>
      <diagonal/>
    </border>
    <border>
      <left/>
      <right/>
      <top style="medium">
        <color rgb="FF81C9AD"/>
      </top>
      <bottom/>
      <diagonal/>
    </border>
    <border>
      <left/>
      <right style="medium">
        <color rgb="FF81C9AD"/>
      </right>
      <top style="medium">
        <color rgb="FF81C9AD"/>
      </top>
      <bottom/>
      <diagonal/>
    </border>
    <border>
      <left/>
      <right style="medium">
        <color rgb="FF81C9AD"/>
      </right>
      <top/>
      <bottom/>
      <diagonal/>
    </border>
    <border>
      <left style="medium">
        <color rgb="FF81C9AD"/>
      </left>
      <right/>
      <top/>
      <bottom style="medium">
        <color rgb="FF81C9AD"/>
      </bottom>
      <diagonal/>
    </border>
    <border>
      <left/>
      <right/>
      <top/>
      <bottom style="medium">
        <color rgb="FF81C9AD"/>
      </bottom>
      <diagonal/>
    </border>
    <border>
      <left/>
      <right style="medium">
        <color rgb="FF81C9AD"/>
      </right>
      <top/>
      <bottom style="medium">
        <color rgb="FF81C9AD"/>
      </bottom>
      <diagonal/>
    </border>
    <border>
      <left style="medium">
        <color rgb="FF81C9AD"/>
      </left>
      <right style="medium">
        <color rgb="FF81C9AD"/>
      </right>
      <top style="medium">
        <color rgb="FF81C9AD"/>
      </top>
      <bottom style="medium">
        <color rgb="FF81C9AD"/>
      </bottom>
      <diagonal/>
    </border>
    <border>
      <left style="medium">
        <color rgb="FF81C9AD"/>
      </left>
      <right style="medium">
        <color rgb="FF81C9AD"/>
      </right>
      <top/>
      <bottom/>
      <diagonal/>
    </border>
    <border>
      <left style="medium">
        <color rgb="FF81C9AD"/>
      </left>
      <right style="medium">
        <color rgb="FF81C9AD"/>
      </right>
      <top/>
      <bottom style="medium">
        <color rgb="FF81C9AD"/>
      </bottom>
      <diagonal/>
    </border>
  </borders>
  <cellStyleXfs count="5">
    <xf numFmtId="0" fontId="0" fillId="0" borderId="0"/>
    <xf numFmtId="0" fontId="3"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cellStyleXfs>
  <cellXfs count="149">
    <xf numFmtId="0" fontId="0" fillId="0" borderId="0" xfId="0"/>
    <xf numFmtId="4" fontId="0" fillId="0" borderId="0" xfId="0" applyNumberFormat="1"/>
    <xf numFmtId="0" fontId="4" fillId="0" borderId="0" xfId="0" applyFont="1"/>
    <xf numFmtId="10" fontId="0" fillId="0" borderId="0" xfId="0" applyNumberFormat="1"/>
    <xf numFmtId="0" fontId="2" fillId="0" borderId="0" xfId="0" applyFont="1"/>
    <xf numFmtId="0" fontId="1" fillId="0" borderId="0" xfId="2" applyFill="1"/>
    <xf numFmtId="4" fontId="1" fillId="0" borderId="0" xfId="2" applyNumberFormat="1" applyFill="1"/>
    <xf numFmtId="0" fontId="0" fillId="0" borderId="0" xfId="2" applyFont="1" applyFill="1"/>
    <xf numFmtId="1" fontId="1" fillId="0" borderId="0" xfId="2" applyNumberFormat="1" applyFill="1"/>
    <xf numFmtId="2" fontId="0" fillId="0" borderId="0" xfId="0" applyNumberFormat="1"/>
    <xf numFmtId="1" fontId="0" fillId="0" borderId="0" xfId="0" applyNumberFormat="1"/>
    <xf numFmtId="0" fontId="5" fillId="0" borderId="0" xfId="0" applyFont="1"/>
    <xf numFmtId="0" fontId="6" fillId="0" borderId="0" xfId="0" applyFont="1" applyAlignment="1">
      <alignment vertical="top" wrapText="1"/>
    </xf>
    <xf numFmtId="0" fontId="6" fillId="0" borderId="0" xfId="0" applyFont="1" applyAlignment="1">
      <alignment wrapText="1"/>
    </xf>
    <xf numFmtId="0" fontId="9" fillId="0" borderId="0" xfId="0" applyFont="1"/>
    <xf numFmtId="0" fontId="10" fillId="0" borderId="0" xfId="0" applyFont="1"/>
    <xf numFmtId="0" fontId="11" fillId="0" borderId="0" xfId="0" applyFont="1"/>
    <xf numFmtId="0" fontId="12" fillId="0" borderId="0" xfId="0" applyFont="1"/>
    <xf numFmtId="0" fontId="0" fillId="8" borderId="0" xfId="2" applyFont="1" applyFill="1"/>
    <xf numFmtId="0" fontId="0" fillId="8" borderId="0" xfId="0" applyFill="1"/>
    <xf numFmtId="44" fontId="8" fillId="8" borderId="0" xfId="2" applyNumberFormat="1" applyFont="1" applyFill="1"/>
    <xf numFmtId="44" fontId="8" fillId="8" borderId="0" xfId="0" applyNumberFormat="1" applyFont="1" applyFill="1"/>
    <xf numFmtId="0" fontId="1" fillId="8" borderId="0" xfId="2" applyFill="1"/>
    <xf numFmtId="4" fontId="8" fillId="8" borderId="0" xfId="2" applyNumberFormat="1" applyFont="1" applyFill="1" applyProtection="1">
      <protection locked="0"/>
    </xf>
    <xf numFmtId="4" fontId="1" fillId="8" borderId="0" xfId="2" applyNumberFormat="1" applyFill="1"/>
    <xf numFmtId="0" fontId="1" fillId="8" borderId="0" xfId="3" applyFill="1"/>
    <xf numFmtId="4" fontId="8" fillId="8" borderId="0" xfId="3" applyNumberFormat="1" applyFont="1" applyFill="1" applyProtection="1">
      <protection locked="0"/>
    </xf>
    <xf numFmtId="4" fontId="1" fillId="8" borderId="0" xfId="3" applyNumberFormat="1" applyFill="1"/>
    <xf numFmtId="44" fontId="0" fillId="8" borderId="0" xfId="0" applyNumberFormat="1" applyFill="1"/>
    <xf numFmtId="0" fontId="0" fillId="8" borderId="0" xfId="3" applyFont="1" applyFill="1"/>
    <xf numFmtId="164" fontId="1" fillId="8" borderId="0" xfId="2" applyNumberFormat="1" applyFill="1"/>
    <xf numFmtId="0" fontId="1" fillId="8" borderId="0" xfId="2" applyFill="1" applyBorder="1"/>
    <xf numFmtId="0" fontId="1" fillId="8" borderId="2" xfId="2" applyFill="1" applyBorder="1"/>
    <xf numFmtId="0" fontId="1" fillId="8" borderId="4" xfId="2" applyFill="1" applyBorder="1"/>
    <xf numFmtId="0" fontId="1" fillId="8" borderId="5" xfId="2" applyFill="1" applyBorder="1"/>
    <xf numFmtId="0" fontId="1" fillId="8" borderId="6" xfId="2" applyFill="1" applyBorder="1"/>
    <xf numFmtId="0" fontId="1" fillId="8" borderId="7" xfId="2" applyFill="1" applyBorder="1"/>
    <xf numFmtId="0" fontId="1" fillId="8" borderId="8" xfId="2" applyFill="1" applyBorder="1"/>
    <xf numFmtId="0" fontId="1" fillId="8" borderId="9" xfId="2" applyFill="1" applyBorder="1"/>
    <xf numFmtId="0" fontId="1" fillId="8" borderId="10" xfId="2" applyFill="1" applyBorder="1"/>
    <xf numFmtId="0" fontId="1" fillId="8" borderId="11" xfId="2" applyFill="1" applyBorder="1"/>
    <xf numFmtId="0" fontId="13" fillId="0" borderId="0" xfId="0" applyFont="1"/>
    <xf numFmtId="0" fontId="7" fillId="9" borderId="0" xfId="4" applyFont="1" applyFill="1"/>
    <xf numFmtId="0" fontId="7" fillId="9" borderId="0" xfId="4" applyFont="1" applyFill="1" applyProtection="1">
      <protection locked="0"/>
    </xf>
    <xf numFmtId="0" fontId="7" fillId="9" borderId="0" xfId="1" applyFont="1" applyFill="1"/>
    <xf numFmtId="0" fontId="7" fillId="9" borderId="0" xfId="1" applyFont="1" applyFill="1" applyAlignment="1">
      <alignment horizontal="right"/>
    </xf>
    <xf numFmtId="10" fontId="14" fillId="9" borderId="0" xfId="1" applyNumberFormat="1" applyFont="1" applyFill="1" applyProtection="1">
      <protection locked="0"/>
    </xf>
    <xf numFmtId="164" fontId="1" fillId="7" borderId="0" xfId="2" applyNumberFormat="1" applyFill="1"/>
    <xf numFmtId="0" fontId="0" fillId="7" borderId="0" xfId="0" applyFill="1"/>
    <xf numFmtId="0" fontId="1" fillId="6" borderId="1" xfId="2" applyFill="1" applyBorder="1"/>
    <xf numFmtId="0" fontId="1" fillId="6" borderId="2" xfId="2" applyFill="1" applyBorder="1"/>
    <xf numFmtId="0" fontId="1" fillId="6" borderId="3" xfId="2" applyFill="1" applyBorder="1"/>
    <xf numFmtId="0" fontId="8" fillId="8" borderId="0" xfId="2" applyFont="1" applyFill="1" applyBorder="1"/>
    <xf numFmtId="0" fontId="8" fillId="8" borderId="8" xfId="2" applyFont="1" applyFill="1" applyBorder="1"/>
    <xf numFmtId="0" fontId="0" fillId="7" borderId="0" xfId="2" applyFont="1" applyFill="1"/>
    <xf numFmtId="0" fontId="2" fillId="8" borderId="0" xfId="2" applyFont="1" applyFill="1" applyBorder="1"/>
    <xf numFmtId="44" fontId="0" fillId="0" borderId="0" xfId="0" applyNumberFormat="1"/>
    <xf numFmtId="164" fontId="0" fillId="0" borderId="0" xfId="0" applyNumberFormat="1"/>
    <xf numFmtId="0" fontId="2" fillId="8" borderId="0" xfId="0" applyFont="1" applyFill="1"/>
    <xf numFmtId="0" fontId="7" fillId="9" borderId="9" xfId="1" applyFont="1" applyFill="1" applyBorder="1" applyAlignment="1">
      <alignment horizontal="right"/>
    </xf>
    <xf numFmtId="0" fontId="7" fillId="9" borderId="11" xfId="1" applyFont="1" applyFill="1" applyBorder="1" applyAlignment="1">
      <alignment horizontal="right"/>
    </xf>
    <xf numFmtId="0" fontId="8" fillId="8" borderId="4" xfId="2" applyFont="1" applyFill="1" applyBorder="1"/>
    <xf numFmtId="0" fontId="7" fillId="9" borderId="12" xfId="1" applyFont="1" applyFill="1" applyBorder="1" applyAlignment="1">
      <alignment horizontal="right"/>
    </xf>
    <xf numFmtId="0" fontId="0" fillId="0" borderId="10" xfId="0" applyBorder="1"/>
    <xf numFmtId="0" fontId="2" fillId="8" borderId="12" xfId="0" applyFont="1" applyFill="1" applyBorder="1" applyAlignment="1">
      <alignment horizontal="right"/>
    </xf>
    <xf numFmtId="0" fontId="2" fillId="8" borderId="3" xfId="0" applyFont="1" applyFill="1" applyBorder="1" applyAlignment="1">
      <alignment horizontal="right"/>
    </xf>
    <xf numFmtId="0" fontId="2" fillId="8" borderId="11" xfId="0" applyFont="1" applyFill="1" applyBorder="1" applyAlignment="1">
      <alignment horizontal="right"/>
    </xf>
    <xf numFmtId="164" fontId="2" fillId="0" borderId="0" xfId="0" applyNumberFormat="1" applyFont="1"/>
    <xf numFmtId="164" fontId="0" fillId="8" borderId="8" xfId="0" applyNumberFormat="1" applyFill="1" applyBorder="1"/>
    <xf numFmtId="0" fontId="1" fillId="8" borderId="1" xfId="2" applyFill="1" applyBorder="1"/>
    <xf numFmtId="0" fontId="1" fillId="8" borderId="1" xfId="2" applyFill="1" applyBorder="1" applyAlignment="1">
      <alignment wrapText="1"/>
    </xf>
    <xf numFmtId="0" fontId="0" fillId="6" borderId="8" xfId="0" applyFill="1" applyBorder="1"/>
    <xf numFmtId="0" fontId="16" fillId="0" borderId="0" xfId="0" applyFont="1"/>
    <xf numFmtId="0" fontId="0" fillId="8" borderId="0" xfId="2" applyFont="1" applyFill="1" applyProtection="1"/>
    <xf numFmtId="0" fontId="6" fillId="8" borderId="0" xfId="2" applyFont="1" applyFill="1" applyProtection="1"/>
    <xf numFmtId="1" fontId="1" fillId="8" borderId="0" xfId="2" applyNumberFormat="1" applyFill="1" applyProtection="1"/>
    <xf numFmtId="0" fontId="1" fillId="8" borderId="0" xfId="2" applyFill="1" applyProtection="1"/>
    <xf numFmtId="165" fontId="0" fillId="8" borderId="0" xfId="0" applyNumberFormat="1" applyFill="1"/>
    <xf numFmtId="0" fontId="0" fillId="8" borderId="1" xfId="2" applyFont="1" applyFill="1" applyBorder="1" applyProtection="1"/>
    <xf numFmtId="0" fontId="1" fillId="8" borderId="2" xfId="2" applyFill="1" applyBorder="1" applyProtection="1"/>
    <xf numFmtId="4" fontId="1" fillId="8" borderId="2" xfId="2" applyNumberFormat="1" applyFill="1" applyBorder="1" applyProtection="1"/>
    <xf numFmtId="4" fontId="0" fillId="8" borderId="2" xfId="0" applyNumberFormat="1" applyFill="1" applyBorder="1"/>
    <xf numFmtId="4" fontId="0" fillId="8" borderId="3" xfId="0" applyNumberFormat="1" applyFill="1" applyBorder="1"/>
    <xf numFmtId="3" fontId="1" fillId="8" borderId="0" xfId="2" applyNumberFormat="1" applyFill="1" applyProtection="1"/>
    <xf numFmtId="4" fontId="1" fillId="8" borderId="0" xfId="2" applyNumberFormat="1" applyFill="1" applyProtection="1"/>
    <xf numFmtId="44" fontId="1" fillId="8" borderId="0" xfId="2" applyNumberFormat="1" applyFill="1" applyProtection="1"/>
    <xf numFmtId="164" fontId="1" fillId="8" borderId="0" xfId="3" applyNumberFormat="1" applyFill="1" applyProtection="1"/>
    <xf numFmtId="164" fontId="1" fillId="8" borderId="0" xfId="2" applyNumberFormat="1" applyFill="1" applyProtection="1"/>
    <xf numFmtId="164" fontId="1" fillId="7" borderId="0" xfId="2" applyNumberFormat="1" applyFill="1" applyProtection="1"/>
    <xf numFmtId="0" fontId="1" fillId="8" borderId="4" xfId="2" applyFill="1" applyBorder="1" applyProtection="1"/>
    <xf numFmtId="0" fontId="1" fillId="8" borderId="8" xfId="2" applyFill="1" applyBorder="1" applyProtection="1"/>
    <xf numFmtId="0" fontId="1" fillId="8" borderId="0" xfId="2" applyFill="1" applyBorder="1" applyProtection="1"/>
    <xf numFmtId="0" fontId="1" fillId="8" borderId="9" xfId="2" applyFill="1" applyBorder="1" applyProtection="1"/>
    <xf numFmtId="0" fontId="1" fillId="8" borderId="11" xfId="2" applyFill="1" applyBorder="1" applyProtection="1"/>
    <xf numFmtId="0" fontId="1" fillId="8" borderId="10" xfId="2" applyFill="1" applyBorder="1" applyProtection="1"/>
    <xf numFmtId="0" fontId="1" fillId="6" borderId="1" xfId="2" applyFill="1" applyBorder="1" applyProtection="1"/>
    <xf numFmtId="0" fontId="1" fillId="6" borderId="3" xfId="2" applyFill="1" applyBorder="1" applyProtection="1"/>
    <xf numFmtId="0" fontId="1" fillId="6" borderId="2" xfId="2" applyFill="1" applyBorder="1" applyProtection="1"/>
    <xf numFmtId="164" fontId="0" fillId="6" borderId="6" xfId="0" applyNumberFormat="1" applyFill="1" applyBorder="1"/>
    <xf numFmtId="164" fontId="0" fillId="6" borderId="7" xfId="0" applyNumberFormat="1" applyFill="1" applyBorder="1"/>
    <xf numFmtId="164" fontId="0" fillId="6" borderId="5" xfId="0" applyNumberFormat="1" applyFill="1" applyBorder="1"/>
    <xf numFmtId="0" fontId="0" fillId="6" borderId="10" xfId="0" applyFill="1" applyBorder="1"/>
    <xf numFmtId="0" fontId="0" fillId="6" borderId="11" xfId="0" applyFill="1" applyBorder="1"/>
    <xf numFmtId="0" fontId="0" fillId="6" borderId="9" xfId="0" applyFill="1" applyBorder="1"/>
    <xf numFmtId="164" fontId="0" fillId="7" borderId="0" xfId="0" applyNumberFormat="1" applyFill="1"/>
    <xf numFmtId="164" fontId="1" fillId="8" borderId="0" xfId="2" applyNumberFormat="1" applyFill="1" applyBorder="1" applyProtection="1"/>
    <xf numFmtId="164" fontId="1" fillId="8" borderId="3" xfId="2" applyNumberFormat="1" applyFill="1" applyBorder="1" applyProtection="1"/>
    <xf numFmtId="0" fontId="1" fillId="8" borderId="3" xfId="2" applyFill="1" applyBorder="1" applyProtection="1"/>
    <xf numFmtId="10" fontId="1" fillId="8" borderId="3" xfId="2" applyNumberFormat="1" applyFill="1" applyBorder="1" applyProtection="1"/>
    <xf numFmtId="10" fontId="2" fillId="8" borderId="0" xfId="2" applyNumberFormat="1" applyFont="1" applyFill="1" applyBorder="1" applyProtection="1"/>
    <xf numFmtId="0" fontId="2" fillId="8" borderId="0" xfId="2" applyFont="1" applyFill="1" applyBorder="1" applyProtection="1"/>
    <xf numFmtId="164" fontId="2" fillId="8" borderId="0" xfId="2" applyNumberFormat="1" applyFont="1" applyFill="1" applyBorder="1" applyProtection="1"/>
    <xf numFmtId="0" fontId="1" fillId="8" borderId="13" xfId="2" applyFill="1" applyBorder="1" applyProtection="1"/>
    <xf numFmtId="10" fontId="14" fillId="9" borderId="0" xfId="1" applyNumberFormat="1" applyFont="1" applyFill="1" applyProtection="1"/>
    <xf numFmtId="0" fontId="7" fillId="9" borderId="0" xfId="1" applyFont="1" applyFill="1" applyProtection="1"/>
    <xf numFmtId="10" fontId="1" fillId="8" borderId="0" xfId="2" applyNumberFormat="1" applyFill="1" applyBorder="1" applyProtection="1"/>
    <xf numFmtId="0" fontId="10" fillId="0" borderId="0" xfId="0" applyFont="1" applyAlignment="1">
      <alignment vertical="top"/>
    </xf>
    <xf numFmtId="0" fontId="0" fillId="8" borderId="0" xfId="2" applyFont="1" applyFill="1" applyBorder="1"/>
    <xf numFmtId="0" fontId="2" fillId="8" borderId="0" xfId="2" applyFont="1" applyFill="1" applyBorder="1" applyAlignment="1" applyProtection="1">
      <alignment horizontal="right"/>
    </xf>
    <xf numFmtId="4" fontId="1" fillId="8" borderId="3" xfId="2" applyNumberFormat="1" applyFill="1" applyBorder="1" applyProtection="1"/>
    <xf numFmtId="0" fontId="0" fillId="0" borderId="14" xfId="0" applyBorder="1"/>
    <xf numFmtId="0" fontId="7" fillId="9" borderId="2" xfId="1" applyFont="1" applyFill="1" applyBorder="1" applyAlignment="1">
      <alignment horizontal="center"/>
    </xf>
    <xf numFmtId="0" fontId="7" fillId="9" borderId="3" xfId="1" applyFont="1" applyFill="1" applyBorder="1" applyAlignment="1">
      <alignment horizontal="center"/>
    </xf>
    <xf numFmtId="0" fontId="2" fillId="8" borderId="1" xfId="0" applyFont="1" applyFill="1" applyBorder="1" applyAlignment="1">
      <alignment horizontal="center"/>
    </xf>
    <xf numFmtId="0" fontId="2" fillId="8" borderId="3" xfId="0" applyFont="1" applyFill="1" applyBorder="1" applyAlignment="1">
      <alignment horizontal="center"/>
    </xf>
    <xf numFmtId="0" fontId="2" fillId="8" borderId="2" xfId="0" applyFont="1" applyFill="1" applyBorder="1" applyAlignment="1">
      <alignment horizontal="center"/>
    </xf>
    <xf numFmtId="0" fontId="7" fillId="9" borderId="1" xfId="1" applyFont="1" applyFill="1" applyBorder="1" applyAlignment="1">
      <alignment horizontal="center"/>
    </xf>
    <xf numFmtId="0" fontId="2" fillId="8" borderId="0" xfId="0" applyFont="1" applyFill="1" applyAlignment="1">
      <alignment horizontal="center"/>
    </xf>
    <xf numFmtId="0" fontId="7" fillId="9" borderId="1" xfId="1" applyFont="1" applyFill="1" applyBorder="1" applyAlignment="1">
      <alignment horizontal="right"/>
    </xf>
    <xf numFmtId="0" fontId="7" fillId="9" borderId="3" xfId="1" applyFont="1" applyFill="1" applyBorder="1" applyAlignment="1">
      <alignment horizontal="right"/>
    </xf>
    <xf numFmtId="0" fontId="1" fillId="8" borderId="5" xfId="2" applyFill="1" applyBorder="1" applyAlignment="1">
      <alignment horizontal="right"/>
    </xf>
    <xf numFmtId="0" fontId="1" fillId="8" borderId="7" xfId="2" applyFill="1" applyBorder="1" applyAlignment="1">
      <alignment horizontal="right"/>
    </xf>
    <xf numFmtId="0" fontId="1" fillId="8" borderId="4" xfId="2" applyFill="1" applyBorder="1" applyAlignment="1" applyProtection="1">
      <alignment horizontal="right"/>
    </xf>
    <xf numFmtId="0" fontId="1" fillId="8" borderId="8" xfId="2" applyFill="1" applyBorder="1" applyAlignment="1" applyProtection="1">
      <alignment horizontal="right"/>
    </xf>
    <xf numFmtId="0" fontId="8" fillId="8" borderId="4" xfId="2" applyFont="1" applyFill="1" applyBorder="1" applyAlignment="1">
      <alignment horizontal="right"/>
    </xf>
    <xf numFmtId="0" fontId="8" fillId="8" borderId="8" xfId="2" applyFont="1" applyFill="1" applyBorder="1" applyAlignment="1">
      <alignment horizontal="right"/>
    </xf>
    <xf numFmtId="0" fontId="1" fillId="8" borderId="9" xfId="2" applyFill="1" applyBorder="1" applyAlignment="1" applyProtection="1">
      <alignment horizontal="right"/>
    </xf>
    <xf numFmtId="0" fontId="1" fillId="8" borderId="11" xfId="2" applyFill="1" applyBorder="1" applyAlignment="1" applyProtection="1">
      <alignment horizontal="right"/>
    </xf>
    <xf numFmtId="0" fontId="1" fillId="6" borderId="1" xfId="2" applyFill="1" applyBorder="1" applyAlignment="1" applyProtection="1">
      <alignment horizontal="right"/>
    </xf>
    <xf numFmtId="0" fontId="1" fillId="6" borderId="3" xfId="2" applyFill="1" applyBorder="1" applyAlignment="1" applyProtection="1">
      <alignment horizontal="right"/>
    </xf>
    <xf numFmtId="0" fontId="2" fillId="8" borderId="1" xfId="0" applyFont="1" applyFill="1" applyBorder="1" applyAlignment="1">
      <alignment horizontal="right"/>
    </xf>
    <xf numFmtId="0" fontId="2" fillId="8" borderId="3" xfId="0" applyFont="1" applyFill="1" applyBorder="1" applyAlignment="1">
      <alignment horizontal="right"/>
    </xf>
    <xf numFmtId="0" fontId="0" fillId="6" borderId="9" xfId="0" applyFill="1" applyBorder="1" applyAlignment="1">
      <alignment horizontal="right"/>
    </xf>
    <xf numFmtId="0" fontId="0" fillId="6" borderId="11" xfId="0" applyFill="1" applyBorder="1" applyAlignment="1">
      <alignment horizontal="right"/>
    </xf>
    <xf numFmtId="164" fontId="0" fillId="6" borderId="5" xfId="0" applyNumberFormat="1" applyFill="1" applyBorder="1" applyAlignment="1">
      <alignment horizontal="right"/>
    </xf>
    <xf numFmtId="164" fontId="0" fillId="6" borderId="7" xfId="0" applyNumberFormat="1" applyFill="1" applyBorder="1" applyAlignment="1">
      <alignment horizontal="right"/>
    </xf>
    <xf numFmtId="4" fontId="0" fillId="8" borderId="0" xfId="0" applyNumberFormat="1" applyFill="1" applyAlignment="1">
      <alignment horizontal="right"/>
    </xf>
    <xf numFmtId="0" fontId="0" fillId="8" borderId="0" xfId="0" applyFill="1" applyAlignment="1">
      <alignment horizontal="right"/>
    </xf>
    <xf numFmtId="0" fontId="1" fillId="6" borderId="2" xfId="2" applyFill="1" applyBorder="1" applyAlignment="1" applyProtection="1">
      <alignment horizontal="right"/>
    </xf>
  </cellXfs>
  <cellStyles count="5">
    <cellStyle name="20% - Accent2" xfId="2" builtinId="34"/>
    <cellStyle name="40% - Accent2" xfId="3" builtinId="35"/>
    <cellStyle name="60% - Accent2" xfId="4" builtinId="36"/>
    <cellStyle name="Accent2" xfId="1" builtinId="33"/>
    <cellStyle name="Standaard" xfId="0" builtinId="0"/>
  </cellStyles>
  <dxfs count="0"/>
  <tableStyles count="0" defaultTableStyle="TableStyleMedium2" defaultPivotStyle="PivotStyleLight16"/>
  <colors>
    <mruColors>
      <color rgb="FF81C9AD"/>
      <color rgb="FFDFF1EA"/>
      <color rgb="FFB8DFCF"/>
      <color rgb="FFAADAC8"/>
      <color rgb="FFD7EDE4"/>
      <color rgb="FF58E3E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3514725</xdr:colOff>
      <xdr:row>1</xdr:row>
      <xdr:rowOff>95270</xdr:rowOff>
    </xdr:to>
    <xdr:pic>
      <xdr:nvPicPr>
        <xdr:cNvPr id="3" name="Afbeelding 2" descr="Information security, Privacy en Business Continuity | Infosentry">
          <a:extLst>
            <a:ext uri="{FF2B5EF4-FFF2-40B4-BE49-F238E27FC236}">
              <a16:creationId xmlns:a16="http://schemas.microsoft.com/office/drawing/2014/main" id="{DDE8E0C3-5381-424D-4978-2BA7805F5C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3514725" cy="10191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1019175</xdr:colOff>
      <xdr:row>0</xdr:row>
      <xdr:rowOff>133350</xdr:rowOff>
    </xdr:from>
    <xdr:to>
      <xdr:col>16</xdr:col>
      <xdr:colOff>535517</xdr:colOff>
      <xdr:row>5</xdr:row>
      <xdr:rowOff>72410</xdr:rowOff>
    </xdr:to>
    <xdr:pic>
      <xdr:nvPicPr>
        <xdr:cNvPr id="2" name="Afbeelding 1" descr="Information security, Privacy en Business Continuity | Infosentry">
          <a:extLst>
            <a:ext uri="{FF2B5EF4-FFF2-40B4-BE49-F238E27FC236}">
              <a16:creationId xmlns:a16="http://schemas.microsoft.com/office/drawing/2014/main" id="{7AA36A6C-9D4B-40C1-8885-B2F5FBE6D1E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973175" y="133350"/>
          <a:ext cx="3514725" cy="10191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9</xdr:col>
      <xdr:colOff>438150</xdr:colOff>
      <xdr:row>29</xdr:row>
      <xdr:rowOff>66675</xdr:rowOff>
    </xdr:to>
    <xdr:pic>
      <xdr:nvPicPr>
        <xdr:cNvPr id="2" name="Afbeelding 1">
          <a:extLst>
            <a:ext uri="{FF2B5EF4-FFF2-40B4-BE49-F238E27FC236}">
              <a16:creationId xmlns:a16="http://schemas.microsoft.com/office/drawing/2014/main" id="{B2197103-9D49-507A-9342-4578ABE4657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5924550" cy="55911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E9CD8A-A4CD-47CC-A174-C4E9D83A7B69}">
  <dimension ref="A1:A25"/>
  <sheetViews>
    <sheetView topLeftCell="A12" workbookViewId="0">
      <selection activeCell="A22" sqref="A22"/>
    </sheetView>
  </sheetViews>
  <sheetFormatPr defaultRowHeight="15" x14ac:dyDescent="0.25"/>
  <cols>
    <col min="1" max="1" width="181" customWidth="1"/>
  </cols>
  <sheetData>
    <row r="1" spans="1:1" ht="72.75" customHeight="1" x14ac:dyDescent="0.5">
      <c r="A1" s="11"/>
    </row>
    <row r="2" spans="1:1" ht="57.75" customHeight="1" x14ac:dyDescent="0.5">
      <c r="A2" s="14" t="s">
        <v>38</v>
      </c>
    </row>
    <row r="3" spans="1:1" ht="15.75" x14ac:dyDescent="0.25">
      <c r="A3" s="15" t="s">
        <v>37</v>
      </c>
    </row>
    <row r="4" spans="1:1" ht="47.25" x14ac:dyDescent="0.25">
      <c r="A4" s="12" t="s">
        <v>56</v>
      </c>
    </row>
    <row r="5" spans="1:1" x14ac:dyDescent="0.25">
      <c r="A5" t="s">
        <v>120</v>
      </c>
    </row>
    <row r="6" spans="1:1" ht="31.9" customHeight="1" x14ac:dyDescent="0.3">
      <c r="A6" s="16" t="s">
        <v>99</v>
      </c>
    </row>
    <row r="7" spans="1:1" ht="45" customHeight="1" x14ac:dyDescent="0.25">
      <c r="A7" s="12" t="s">
        <v>121</v>
      </c>
    </row>
    <row r="8" spans="1:1" ht="45" customHeight="1" x14ac:dyDescent="0.25">
      <c r="A8" s="12" t="s">
        <v>122</v>
      </c>
    </row>
    <row r="9" spans="1:1" ht="31.9" customHeight="1" x14ac:dyDescent="0.25">
      <c r="A9" s="12" t="s">
        <v>113</v>
      </c>
    </row>
    <row r="10" spans="1:1" ht="31.9" customHeight="1" x14ac:dyDescent="0.25">
      <c r="A10" s="12" t="s">
        <v>114</v>
      </c>
    </row>
    <row r="11" spans="1:1" ht="48.6" customHeight="1" x14ac:dyDescent="0.3">
      <c r="A11" s="16" t="s">
        <v>106</v>
      </c>
    </row>
    <row r="12" spans="1:1" ht="57.6" customHeight="1" x14ac:dyDescent="0.25">
      <c r="A12" s="12" t="s">
        <v>107</v>
      </c>
    </row>
    <row r="13" spans="1:1" ht="39.6" customHeight="1" x14ac:dyDescent="0.25">
      <c r="A13" s="12" t="s">
        <v>115</v>
      </c>
    </row>
    <row r="14" spans="1:1" ht="31.9" customHeight="1" x14ac:dyDescent="0.25">
      <c r="A14" s="116" t="s">
        <v>112</v>
      </c>
    </row>
    <row r="15" spans="1:1" ht="40.15" customHeight="1" x14ac:dyDescent="0.25">
      <c r="A15" s="12" t="s">
        <v>123</v>
      </c>
    </row>
    <row r="16" spans="1:1" ht="57" customHeight="1" x14ac:dyDescent="0.25">
      <c r="A16" s="12" t="s">
        <v>108</v>
      </c>
    </row>
    <row r="17" spans="1:1" ht="42.6" customHeight="1" x14ac:dyDescent="0.25">
      <c r="A17" s="12" t="s">
        <v>116</v>
      </c>
    </row>
    <row r="19" spans="1:1" ht="18.75" x14ac:dyDescent="0.3">
      <c r="A19" s="16" t="s">
        <v>111</v>
      </c>
    </row>
    <row r="20" spans="1:1" ht="39.6" customHeight="1" x14ac:dyDescent="0.25">
      <c r="A20" s="12" t="s">
        <v>124</v>
      </c>
    </row>
    <row r="21" spans="1:1" ht="18.75" x14ac:dyDescent="0.3">
      <c r="A21" s="16"/>
    </row>
    <row r="22" spans="1:1" ht="26.45" customHeight="1" x14ac:dyDescent="0.25">
      <c r="A22" s="13"/>
    </row>
    <row r="23" spans="1:1" ht="23.45" customHeight="1" x14ac:dyDescent="0.25"/>
    <row r="24" spans="1:1" ht="37.9" customHeight="1" x14ac:dyDescent="0.3">
      <c r="A24" s="16"/>
    </row>
    <row r="25" spans="1:1" ht="15.75" x14ac:dyDescent="0.25">
      <c r="A25" s="13"/>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424DE5-0F43-4B13-A3A6-A6312A915FBF}">
  <dimension ref="A1:O41"/>
  <sheetViews>
    <sheetView zoomScale="79" zoomScaleNormal="100" workbookViewId="0">
      <selection activeCell="H23" sqref="H23"/>
    </sheetView>
  </sheetViews>
  <sheetFormatPr defaultRowHeight="15" x14ac:dyDescent="0.25"/>
  <cols>
    <col min="1" max="1" width="36.42578125" bestFit="1" customWidth="1"/>
    <col min="2" max="2" width="11.140625" bestFit="1" customWidth="1"/>
    <col min="3" max="3" width="19.85546875" customWidth="1"/>
    <col min="4" max="4" width="32" customWidth="1"/>
    <col min="5" max="5" width="20.7109375" customWidth="1"/>
    <col min="6" max="6" width="20.7109375" bestFit="1" customWidth="1"/>
    <col min="7" max="7" width="15.28515625" bestFit="1" customWidth="1"/>
    <col min="9" max="9" width="26.28515625" bestFit="1" customWidth="1"/>
    <col min="10" max="10" width="12.5703125" customWidth="1"/>
    <col min="11" max="11" width="6" customWidth="1"/>
    <col min="12" max="12" width="14.5703125" bestFit="1" customWidth="1"/>
    <col min="13" max="13" width="12.140625" customWidth="1"/>
    <col min="14" max="14" width="14.140625" customWidth="1"/>
  </cols>
  <sheetData>
    <row r="1" spans="1:13" ht="24" x14ac:dyDescent="0.4">
      <c r="A1" s="17" t="s">
        <v>12</v>
      </c>
    </row>
    <row r="3" spans="1:13" x14ac:dyDescent="0.25">
      <c r="A3" t="s">
        <v>89</v>
      </c>
    </row>
    <row r="4" spans="1:13" ht="15.75" x14ac:dyDescent="0.25">
      <c r="A4" s="42" t="s">
        <v>4</v>
      </c>
      <c r="B4" s="43">
        <v>5</v>
      </c>
      <c r="C4" s="42" t="s">
        <v>5</v>
      </c>
      <c r="I4" t="s">
        <v>110</v>
      </c>
    </row>
    <row r="5" spans="1:13" ht="15.75" x14ac:dyDescent="0.25">
      <c r="A5" s="5"/>
      <c r="B5" s="5"/>
      <c r="C5" s="5"/>
      <c r="E5" s="44" t="s">
        <v>35</v>
      </c>
      <c r="F5" s="44"/>
      <c r="G5" s="44" t="s">
        <v>2</v>
      </c>
      <c r="I5" s="44" t="s">
        <v>65</v>
      </c>
      <c r="J5" s="46">
        <v>0.3</v>
      </c>
      <c r="K5" s="44"/>
      <c r="L5" s="44">
        <f>J5</f>
        <v>0.3</v>
      </c>
    </row>
    <row r="6" spans="1:13" x14ac:dyDescent="0.25">
      <c r="A6" s="5" t="s">
        <v>90</v>
      </c>
      <c r="B6" s="5"/>
      <c r="C6" s="5"/>
      <c r="E6" s="18" t="s">
        <v>8</v>
      </c>
      <c r="F6" s="19"/>
      <c r="G6" s="85">
        <f>E15+E36+E37+E23+E31</f>
        <v>182670</v>
      </c>
      <c r="I6" s="29" t="s">
        <v>66</v>
      </c>
      <c r="J6" s="86">
        <f>C15*L5</f>
        <v>2781</v>
      </c>
      <c r="K6" s="19"/>
      <c r="L6" s="86">
        <f>C15-J6</f>
        <v>6489</v>
      </c>
    </row>
    <row r="7" spans="1:13" ht="15.75" x14ac:dyDescent="0.25">
      <c r="A7" s="44" t="s">
        <v>67</v>
      </c>
      <c r="B7" s="44"/>
      <c r="C7" s="44" t="s">
        <v>2</v>
      </c>
      <c r="E7" s="19" t="s">
        <v>71</v>
      </c>
      <c r="F7" s="19"/>
      <c r="G7" s="28">
        <f>C15+C36+C37+C23+C31</f>
        <v>52150</v>
      </c>
      <c r="I7" s="18" t="str">
        <f>"Korting over " &amp; B4 &amp; " jaar"</f>
        <v>Korting over 5 jaar</v>
      </c>
      <c r="J7" s="87">
        <f>E15*L5</f>
        <v>13905</v>
      </c>
      <c r="K7" s="19"/>
      <c r="L7" s="87">
        <f>E15-J7</f>
        <v>32445</v>
      </c>
    </row>
    <row r="8" spans="1:13" x14ac:dyDescent="0.25">
      <c r="A8" s="18" t="s">
        <v>68</v>
      </c>
      <c r="B8" s="19"/>
      <c r="C8" s="20">
        <v>60</v>
      </c>
      <c r="E8" s="19" t="s">
        <v>72</v>
      </c>
      <c r="F8" s="19"/>
      <c r="G8" s="28">
        <f>C15+C37+D23+D31</f>
        <v>32630</v>
      </c>
      <c r="I8" s="18"/>
      <c r="J8" s="30"/>
      <c r="K8" s="19"/>
      <c r="L8" s="87"/>
    </row>
    <row r="9" spans="1:13" x14ac:dyDescent="0.25">
      <c r="A9" s="19" t="s">
        <v>40</v>
      </c>
      <c r="B9" s="19"/>
      <c r="C9" s="21">
        <v>100</v>
      </c>
      <c r="E9" s="19"/>
      <c r="F9" s="19"/>
      <c r="G9" s="28"/>
      <c r="I9" s="54" t="s">
        <v>14</v>
      </c>
      <c r="J9" s="47"/>
      <c r="K9" s="48"/>
      <c r="L9" s="88">
        <f>G6-J7</f>
        <v>168765</v>
      </c>
    </row>
    <row r="10" spans="1:13" x14ac:dyDescent="0.25">
      <c r="A10" s="19" t="s">
        <v>41</v>
      </c>
      <c r="B10" s="19"/>
      <c r="C10" s="21">
        <v>188</v>
      </c>
      <c r="G10" s="56"/>
      <c r="I10" s="54" t="s">
        <v>74</v>
      </c>
      <c r="J10" s="47"/>
      <c r="K10" s="48"/>
      <c r="L10" s="88">
        <f>L6+C36+C37+C23+C31</f>
        <v>49369</v>
      </c>
      <c r="M10" s="57"/>
    </row>
    <row r="11" spans="1:13" x14ac:dyDescent="0.25">
      <c r="I11" s="54" t="s">
        <v>94</v>
      </c>
      <c r="J11" s="47"/>
      <c r="K11" s="48"/>
      <c r="L11" s="88">
        <f>L6+C37+D23+D31</f>
        <v>29849</v>
      </c>
      <c r="M11" s="57"/>
    </row>
    <row r="12" spans="1:13" x14ac:dyDescent="0.25">
      <c r="L12" s="57"/>
    </row>
    <row r="13" spans="1:13" x14ac:dyDescent="0.25">
      <c r="A13" t="s">
        <v>91</v>
      </c>
    </row>
    <row r="14" spans="1:13" ht="15.75" x14ac:dyDescent="0.25">
      <c r="A14" s="44" t="s">
        <v>0</v>
      </c>
      <c r="B14" s="44"/>
      <c r="C14" s="44" t="s">
        <v>2</v>
      </c>
      <c r="D14" s="44" t="s">
        <v>3</v>
      </c>
      <c r="E14" s="44" t="str">
        <f>"Kost over " &amp; B4 &amp; " jaar"</f>
        <v>Kost over 5 jaar</v>
      </c>
      <c r="G14" s="56"/>
    </row>
    <row r="15" spans="1:13" x14ac:dyDescent="0.25">
      <c r="A15" s="22" t="s">
        <v>1</v>
      </c>
      <c r="B15" s="22"/>
      <c r="C15" s="23">
        <v>9270</v>
      </c>
      <c r="D15" s="22" t="s">
        <v>6</v>
      </c>
      <c r="E15" s="84">
        <f>C15*B4</f>
        <v>46350</v>
      </c>
    </row>
    <row r="18" spans="1:15" ht="15.75" x14ac:dyDescent="0.25">
      <c r="A18" s="44" t="s">
        <v>24</v>
      </c>
      <c r="B18" s="44"/>
      <c r="C18" s="45" t="s">
        <v>69</v>
      </c>
      <c r="D18" s="45" t="s">
        <v>70</v>
      </c>
      <c r="E18" s="45" t="str">
        <f>"Kost over " &amp; B4 &amp; " jaar"</f>
        <v>Kost over 5 jaar</v>
      </c>
    </row>
    <row r="19" spans="1:15" ht="15.75" x14ac:dyDescent="0.25">
      <c r="A19" s="73" t="s">
        <v>25</v>
      </c>
      <c r="B19" s="74"/>
      <c r="C19" s="75">
        <v>8</v>
      </c>
      <c r="D19" s="19">
        <v>8</v>
      </c>
      <c r="E19" s="19"/>
      <c r="L19" s="1"/>
      <c r="O19" s="1"/>
    </row>
    <row r="20" spans="1:15" ht="15.75" customHeight="1" x14ac:dyDescent="0.25">
      <c r="A20" s="73" t="s">
        <v>26</v>
      </c>
      <c r="B20" s="76"/>
      <c r="C20" s="75">
        <f>ROI!J13+ROI!J20+ROI!J27+ROI!J35</f>
        <v>31</v>
      </c>
      <c r="D20" s="19">
        <f>ROI!K13+ROI!K20+ROI!K27+ROI!K35</f>
        <v>22</v>
      </c>
      <c r="E20" s="19"/>
      <c r="L20" s="1"/>
    </row>
    <row r="21" spans="1:15" ht="16.149999999999999" customHeight="1" x14ac:dyDescent="0.25">
      <c r="A21" s="73" t="s">
        <v>27</v>
      </c>
      <c r="B21" s="76"/>
      <c r="C21" s="75">
        <f>C19*C20</f>
        <v>248</v>
      </c>
      <c r="D21" s="19">
        <f>D19*D20</f>
        <v>176</v>
      </c>
      <c r="E21" s="19"/>
    </row>
    <row r="22" spans="1:15" ht="15.75" thickBot="1" x14ac:dyDescent="0.3">
      <c r="A22" s="73" t="s">
        <v>28</v>
      </c>
      <c r="B22" s="76"/>
      <c r="C22" s="77">
        <f>C8</f>
        <v>60</v>
      </c>
      <c r="D22" s="77">
        <f>C8</f>
        <v>60</v>
      </c>
      <c r="E22" s="19"/>
    </row>
    <row r="23" spans="1:15" ht="15.75" thickBot="1" x14ac:dyDescent="0.3">
      <c r="A23" s="78" t="s">
        <v>29</v>
      </c>
      <c r="B23" s="79"/>
      <c r="C23" s="80">
        <f>C22*C21</f>
        <v>14880</v>
      </c>
      <c r="D23" s="81">
        <f>D21*D22</f>
        <v>10560</v>
      </c>
      <c r="E23" s="82">
        <f>C23+(D23*(B4-1))</f>
        <v>57120</v>
      </c>
      <c r="F23" s="1"/>
    </row>
    <row r="25" spans="1:15" x14ac:dyDescent="0.25">
      <c r="A25" s="7"/>
      <c r="B25" s="5"/>
      <c r="C25" s="8"/>
      <c r="D25" s="5"/>
      <c r="E25" s="10"/>
      <c r="F25" s="9"/>
      <c r="H25" s="9"/>
    </row>
    <row r="26" spans="1:15" ht="15.75" x14ac:dyDescent="0.25">
      <c r="A26" s="44" t="s">
        <v>30</v>
      </c>
      <c r="B26" s="44"/>
      <c r="C26" s="45" t="s">
        <v>69</v>
      </c>
      <c r="D26" s="45" t="s">
        <v>70</v>
      </c>
      <c r="E26" s="45" t="str">
        <f>"Kost over " &amp; B4 &amp; " jaar"</f>
        <v>Kost over 5 jaar</v>
      </c>
    </row>
    <row r="27" spans="1:15" ht="16.5" customHeight="1" x14ac:dyDescent="0.25">
      <c r="A27" s="73" t="s">
        <v>25</v>
      </c>
      <c r="B27" s="76"/>
      <c r="C27" s="75">
        <v>8</v>
      </c>
      <c r="D27" s="19">
        <v>8</v>
      </c>
      <c r="E27" s="19"/>
    </row>
    <row r="28" spans="1:15" ht="15" customHeight="1" x14ac:dyDescent="0.25">
      <c r="A28" s="73" t="s">
        <v>26</v>
      </c>
      <c r="B28" s="76"/>
      <c r="C28" s="75">
        <f>ROI!L13+ROI!L20+ROI!L27+ROI!L35</f>
        <v>35</v>
      </c>
      <c r="D28" s="19">
        <f>ROI!M13+ROI!M20+ROI!M27+ROI!M35</f>
        <v>16</v>
      </c>
      <c r="E28" s="19"/>
    </row>
    <row r="29" spans="1:15" x14ac:dyDescent="0.25">
      <c r="A29" s="73" t="s">
        <v>31</v>
      </c>
      <c r="B29" s="76"/>
      <c r="C29" s="75">
        <f>C27*C28</f>
        <v>280</v>
      </c>
      <c r="D29" s="83">
        <f>D27*D28</f>
        <v>128</v>
      </c>
      <c r="E29" s="19"/>
    </row>
    <row r="30" spans="1:15" ht="15.75" thickBot="1" x14ac:dyDescent="0.3">
      <c r="A30" s="73" t="s">
        <v>36</v>
      </c>
      <c r="B30" s="76"/>
      <c r="C30" s="77">
        <f>C9</f>
        <v>100</v>
      </c>
      <c r="D30" s="77">
        <f>C9</f>
        <v>100</v>
      </c>
      <c r="E30" s="19"/>
    </row>
    <row r="31" spans="1:15" ht="15.75" thickBot="1" x14ac:dyDescent="0.3">
      <c r="A31" s="78" t="s">
        <v>32</v>
      </c>
      <c r="B31" s="79"/>
      <c r="C31" s="80">
        <f>C30*C29</f>
        <v>28000</v>
      </c>
      <c r="D31" s="80">
        <f>D29*D30</f>
        <v>12800</v>
      </c>
      <c r="E31" s="82">
        <f>C31+(D31*(B4-1))</f>
        <v>79200</v>
      </c>
    </row>
    <row r="34" spans="1:8" x14ac:dyDescent="0.25">
      <c r="A34" s="7" t="s">
        <v>103</v>
      </c>
      <c r="B34" s="5"/>
      <c r="C34" s="8"/>
      <c r="D34" s="5"/>
      <c r="E34" s="6"/>
    </row>
    <row r="35" spans="1:8" ht="15.75" x14ac:dyDescent="0.25">
      <c r="A35" s="44" t="s">
        <v>34</v>
      </c>
      <c r="B35" s="44"/>
      <c r="C35" s="45" t="s">
        <v>2</v>
      </c>
      <c r="D35" s="45" t="s">
        <v>3</v>
      </c>
      <c r="E35" s="45" t="str">
        <f>"Kost over " &amp; B4 &amp; " jaar"</f>
        <v>Kost over 5 jaar</v>
      </c>
      <c r="F35" s="9"/>
      <c r="G35" s="9"/>
      <c r="H35" s="9"/>
    </row>
    <row r="36" spans="1:8" x14ac:dyDescent="0.25">
      <c r="A36" s="22" t="s">
        <v>10</v>
      </c>
      <c r="B36" s="22"/>
      <c r="C36" s="23">
        <v>0</v>
      </c>
      <c r="D36" s="22" t="s">
        <v>7</v>
      </c>
      <c r="E36" s="24">
        <f>C36*B4</f>
        <v>0</v>
      </c>
      <c r="F36" s="9"/>
      <c r="G36" s="9"/>
      <c r="H36" s="9"/>
    </row>
    <row r="37" spans="1:8" ht="24" customHeight="1" x14ac:dyDescent="0.25">
      <c r="A37" s="25" t="s">
        <v>11</v>
      </c>
      <c r="B37" s="25"/>
      <c r="C37" s="26">
        <v>0</v>
      </c>
      <c r="D37" s="25" t="s">
        <v>6</v>
      </c>
      <c r="E37" s="27">
        <f>C37*B4</f>
        <v>0</v>
      </c>
      <c r="F37" s="9"/>
      <c r="G37" s="9"/>
      <c r="H37" s="9"/>
    </row>
    <row r="41" spans="1:8" ht="27" customHeight="1" x14ac:dyDescent="0.25">
      <c r="A41" s="5"/>
      <c r="B41" s="5"/>
      <c r="C41" s="5"/>
      <c r="D41" s="5"/>
      <c r="E41" s="5"/>
    </row>
  </sheetData>
  <pageMargins left="0.7" right="0.7" top="0.75" bottom="0.75" header="0.3" footer="0.3"/>
  <pageSetup paperSize="9" orientation="portrait" horizontalDpi="4294967293"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6E2FE-C802-475D-B887-C0DDD7FB87D2}">
  <dimension ref="A1:Q125"/>
  <sheetViews>
    <sheetView tabSelected="1" topLeftCell="A23" zoomScale="85" zoomScaleNormal="85" workbookViewId="0">
      <selection activeCell="H63" sqref="H63"/>
    </sheetView>
  </sheetViews>
  <sheetFormatPr defaultRowHeight="15" x14ac:dyDescent="0.25"/>
  <cols>
    <col min="1" max="1" width="48.85546875" customWidth="1"/>
    <col min="2" max="2" width="12.7109375" bestFit="1" customWidth="1"/>
    <col min="3" max="3" width="13.28515625" customWidth="1"/>
    <col min="4" max="4" width="16.7109375" customWidth="1"/>
    <col min="5" max="5" width="12.85546875" bestFit="1" customWidth="1"/>
    <col min="6" max="6" width="12.7109375" customWidth="1"/>
    <col min="7" max="7" width="20" bestFit="1" customWidth="1"/>
    <col min="8" max="8" width="17.28515625" bestFit="1" customWidth="1"/>
    <col min="9" max="9" width="57.42578125" customWidth="1"/>
    <col min="10" max="10" width="17.7109375" customWidth="1"/>
    <col min="11" max="11" width="13.7109375" customWidth="1"/>
    <col min="12" max="12" width="17.42578125" customWidth="1"/>
    <col min="13" max="13" width="12.5703125" bestFit="1" customWidth="1"/>
    <col min="14" max="14" width="16.42578125" customWidth="1"/>
    <col min="15" max="15" width="13.5703125" customWidth="1"/>
    <col min="16" max="16" width="11.28515625" bestFit="1" customWidth="1"/>
    <col min="17" max="17" width="12.7109375" bestFit="1" customWidth="1"/>
    <col min="18" max="18" width="62.7109375" bestFit="1" customWidth="1"/>
    <col min="19" max="19" width="13.28515625" customWidth="1"/>
    <col min="20" max="20" width="22.28515625" customWidth="1"/>
    <col min="21" max="21" width="17.7109375" customWidth="1"/>
  </cols>
  <sheetData>
    <row r="1" spans="1:15" ht="24" x14ac:dyDescent="0.4">
      <c r="A1" s="17" t="s">
        <v>15</v>
      </c>
      <c r="B1" s="17"/>
      <c r="C1" s="2"/>
      <c r="D1" s="2"/>
      <c r="E1" s="2"/>
      <c r="F1" s="2"/>
    </row>
    <row r="3" spans="1:15" ht="15.75" x14ac:dyDescent="0.25">
      <c r="A3" s="19" t="s">
        <v>8</v>
      </c>
      <c r="B3" s="19"/>
      <c r="C3" s="19"/>
      <c r="D3" s="19"/>
      <c r="E3" s="19"/>
      <c r="F3" s="146">
        <f>TCO!L9</f>
        <v>168765</v>
      </c>
      <c r="G3" s="146"/>
      <c r="I3" s="41" t="s">
        <v>37</v>
      </c>
      <c r="J3" s="41"/>
    </row>
    <row r="5" spans="1:15" x14ac:dyDescent="0.25">
      <c r="A5" s="19" t="s">
        <v>13</v>
      </c>
      <c r="B5" s="19"/>
      <c r="C5" s="19"/>
      <c r="D5" s="19"/>
      <c r="E5" s="19"/>
      <c r="F5" s="147">
        <f>TCO!B4</f>
        <v>5</v>
      </c>
      <c r="G5" s="147"/>
    </row>
    <row r="6" spans="1:15" x14ac:dyDescent="0.25">
      <c r="A6" s="19" t="s">
        <v>98</v>
      </c>
      <c r="B6" s="19"/>
      <c r="C6" s="19"/>
      <c r="D6" s="19"/>
      <c r="E6" s="19"/>
      <c r="F6" s="147">
        <f>TCO!B4 -1</f>
        <v>4</v>
      </c>
      <c r="G6" s="147"/>
    </row>
    <row r="8" spans="1:15" ht="15.75" thickBot="1" x14ac:dyDescent="0.3">
      <c r="A8" t="s">
        <v>104</v>
      </c>
      <c r="I8" t="s">
        <v>105</v>
      </c>
      <c r="N8" s="63"/>
      <c r="O8" s="63"/>
    </row>
    <row r="9" spans="1:15" ht="16.5" thickBot="1" x14ac:dyDescent="0.3">
      <c r="A9" s="44" t="s">
        <v>64</v>
      </c>
      <c r="B9" s="126" t="s">
        <v>39</v>
      </c>
      <c r="C9" s="122"/>
      <c r="D9" s="126" t="s">
        <v>40</v>
      </c>
      <c r="E9" s="122"/>
      <c r="F9" s="126" t="s">
        <v>81</v>
      </c>
      <c r="G9" s="122"/>
      <c r="I9" s="44" t="s">
        <v>88</v>
      </c>
      <c r="J9" s="126" t="s">
        <v>39</v>
      </c>
      <c r="K9" s="121"/>
      <c r="L9" s="121" t="s">
        <v>40</v>
      </c>
      <c r="M9" s="122"/>
      <c r="N9" s="121" t="s">
        <v>41</v>
      </c>
      <c r="O9" s="122"/>
    </row>
    <row r="10" spans="1:15" ht="16.5" thickBot="1" x14ac:dyDescent="0.3">
      <c r="A10" s="44"/>
      <c r="B10" s="62" t="s">
        <v>75</v>
      </c>
      <c r="C10" s="62" t="s">
        <v>76</v>
      </c>
      <c r="D10" s="62" t="s">
        <v>75</v>
      </c>
      <c r="E10" s="60" t="s">
        <v>76</v>
      </c>
      <c r="F10" s="128"/>
      <c r="G10" s="129"/>
      <c r="I10" s="44"/>
      <c r="J10" s="59" t="s">
        <v>75</v>
      </c>
      <c r="K10" s="62" t="s">
        <v>76</v>
      </c>
      <c r="L10" s="62" t="s">
        <v>75</v>
      </c>
      <c r="M10" s="60" t="s">
        <v>76</v>
      </c>
      <c r="N10" s="128"/>
      <c r="O10" s="129"/>
    </row>
    <row r="11" spans="1:15" x14ac:dyDescent="0.25">
      <c r="A11" s="34" t="s">
        <v>42</v>
      </c>
      <c r="B11" s="33"/>
      <c r="C11" s="37"/>
      <c r="D11" s="31"/>
      <c r="E11" s="36"/>
      <c r="F11" s="31"/>
      <c r="G11" s="37"/>
      <c r="I11" s="34" t="s">
        <v>49</v>
      </c>
      <c r="J11" s="34"/>
      <c r="K11" s="36"/>
      <c r="L11" s="35"/>
      <c r="M11" s="36"/>
      <c r="N11" s="35"/>
      <c r="O11" s="36"/>
    </row>
    <row r="12" spans="1:15" x14ac:dyDescent="0.25">
      <c r="A12" s="33" t="s">
        <v>17</v>
      </c>
      <c r="B12" s="89">
        <v>8</v>
      </c>
      <c r="C12" s="90">
        <v>8</v>
      </c>
      <c r="D12" s="91">
        <v>8</v>
      </c>
      <c r="E12" s="90">
        <v>8</v>
      </c>
      <c r="F12" s="52"/>
      <c r="G12" s="37"/>
      <c r="I12" s="33" t="s">
        <v>17</v>
      </c>
      <c r="J12" s="89">
        <v>8</v>
      </c>
      <c r="K12" s="90">
        <v>8</v>
      </c>
      <c r="L12" s="91">
        <v>8</v>
      </c>
      <c r="M12" s="90">
        <v>8</v>
      </c>
      <c r="N12" s="52"/>
      <c r="O12" s="37"/>
    </row>
    <row r="13" spans="1:15" x14ac:dyDescent="0.25">
      <c r="A13" s="33" t="s">
        <v>18</v>
      </c>
      <c r="B13" s="61">
        <v>35</v>
      </c>
      <c r="C13" s="53">
        <v>25</v>
      </c>
      <c r="D13" s="52">
        <v>35</v>
      </c>
      <c r="E13" s="53">
        <v>12</v>
      </c>
      <c r="F13" s="52"/>
      <c r="G13" s="37"/>
      <c r="I13" s="33" t="s">
        <v>18</v>
      </c>
      <c r="J13" s="61">
        <v>25</v>
      </c>
      <c r="K13" s="53">
        <v>18</v>
      </c>
      <c r="L13" s="52">
        <v>30</v>
      </c>
      <c r="M13" s="53">
        <v>12</v>
      </c>
      <c r="N13" s="52"/>
      <c r="O13" s="37"/>
    </row>
    <row r="14" spans="1:15" x14ac:dyDescent="0.25">
      <c r="A14" s="33" t="s">
        <v>16</v>
      </c>
      <c r="B14" s="89">
        <f>B12*B13</f>
        <v>280</v>
      </c>
      <c r="C14" s="90">
        <f>C12*C13</f>
        <v>200</v>
      </c>
      <c r="D14" s="91">
        <f>D12*D13</f>
        <v>280</v>
      </c>
      <c r="E14" s="90">
        <f>E12*E13</f>
        <v>96</v>
      </c>
      <c r="F14" s="31"/>
      <c r="G14" s="37"/>
      <c r="I14" s="33" t="s">
        <v>16</v>
      </c>
      <c r="J14" s="89">
        <f>J12*J13</f>
        <v>200</v>
      </c>
      <c r="K14" s="90">
        <f>K12*K13</f>
        <v>144</v>
      </c>
      <c r="L14" s="91">
        <f>L12*L13</f>
        <v>240</v>
      </c>
      <c r="M14" s="90">
        <f>M12*M13</f>
        <v>96</v>
      </c>
      <c r="N14" s="31"/>
      <c r="O14" s="37"/>
    </row>
    <row r="15" spans="1:15" ht="15.75" thickBot="1" x14ac:dyDescent="0.3">
      <c r="A15" s="38" t="s">
        <v>59</v>
      </c>
      <c r="B15" s="92">
        <f>TCO!C8</f>
        <v>60</v>
      </c>
      <c r="C15" s="93">
        <f>TCO!C8</f>
        <v>60</v>
      </c>
      <c r="D15" s="94">
        <f>TCO!C9</f>
        <v>100</v>
      </c>
      <c r="E15" s="93">
        <f>TCO!C9</f>
        <v>100</v>
      </c>
      <c r="F15" s="39"/>
      <c r="G15" s="40"/>
      <c r="I15" s="33" t="s">
        <v>59</v>
      </c>
      <c r="J15" s="89">
        <f>TCO!C8</f>
        <v>60</v>
      </c>
      <c r="K15" s="90">
        <f>TCO!C8</f>
        <v>60</v>
      </c>
      <c r="L15" s="91">
        <f>TCO!C9</f>
        <v>100</v>
      </c>
      <c r="M15" s="90">
        <f>TCO!C9</f>
        <v>100</v>
      </c>
      <c r="N15" s="31"/>
      <c r="O15" s="37"/>
    </row>
    <row r="16" spans="1:15" ht="15.75" thickBot="1" x14ac:dyDescent="0.3">
      <c r="A16" s="49" t="s">
        <v>43</v>
      </c>
      <c r="B16" s="95">
        <f>B15*B14</f>
        <v>16800</v>
      </c>
      <c r="C16" s="96">
        <f>C15*C14</f>
        <v>12000</v>
      </c>
      <c r="D16" s="97">
        <f>D15*D14</f>
        <v>28000</v>
      </c>
      <c r="E16" s="96">
        <f>E15*E14</f>
        <v>9600</v>
      </c>
      <c r="F16" s="50"/>
      <c r="G16" s="51"/>
      <c r="I16" s="49" t="s">
        <v>21</v>
      </c>
      <c r="J16" s="95">
        <f>J15*J14</f>
        <v>12000</v>
      </c>
      <c r="K16" s="96">
        <f>K15*K14</f>
        <v>8640</v>
      </c>
      <c r="L16" s="97">
        <f>L15*L14</f>
        <v>24000</v>
      </c>
      <c r="M16" s="96">
        <f>M15*M14</f>
        <v>9600</v>
      </c>
      <c r="N16" s="50"/>
      <c r="O16" s="51"/>
    </row>
    <row r="17" spans="1:15" ht="28.5" customHeight="1" thickBot="1" x14ac:dyDescent="0.3">
      <c r="A17" s="22"/>
      <c r="B17" s="22"/>
      <c r="C17" s="22"/>
      <c r="D17" s="22"/>
      <c r="E17" s="22"/>
      <c r="F17" s="22"/>
      <c r="G17" s="22"/>
      <c r="I17" s="31"/>
      <c r="J17" s="31"/>
      <c r="K17" s="31"/>
      <c r="L17" s="31"/>
      <c r="M17" s="31"/>
      <c r="N17" s="31"/>
      <c r="O17" s="31"/>
    </row>
    <row r="18" spans="1:15" x14ac:dyDescent="0.25">
      <c r="A18" s="34" t="s">
        <v>33</v>
      </c>
      <c r="B18" s="34"/>
      <c r="C18" s="36"/>
      <c r="D18" s="35"/>
      <c r="E18" s="36"/>
      <c r="F18" s="130"/>
      <c r="G18" s="131"/>
      <c r="I18" s="34" t="s">
        <v>50</v>
      </c>
      <c r="J18" s="34"/>
      <c r="K18" s="36"/>
      <c r="L18" s="35"/>
      <c r="M18" s="36"/>
      <c r="N18" s="35"/>
      <c r="O18" s="36"/>
    </row>
    <row r="19" spans="1:15" x14ac:dyDescent="0.25">
      <c r="A19" s="33" t="s">
        <v>20</v>
      </c>
      <c r="B19" s="89">
        <v>8</v>
      </c>
      <c r="C19" s="90">
        <v>8</v>
      </c>
      <c r="D19" s="91">
        <v>8</v>
      </c>
      <c r="E19" s="90">
        <v>8</v>
      </c>
      <c r="F19" s="132">
        <v>8</v>
      </c>
      <c r="G19" s="133"/>
      <c r="I19" s="33" t="s">
        <v>20</v>
      </c>
      <c r="J19" s="89">
        <v>8</v>
      </c>
      <c r="K19" s="90">
        <v>8</v>
      </c>
      <c r="L19" s="91">
        <v>8</v>
      </c>
      <c r="M19" s="90">
        <v>8</v>
      </c>
      <c r="N19" s="132">
        <v>8</v>
      </c>
      <c r="O19" s="133"/>
    </row>
    <row r="20" spans="1:15" x14ac:dyDescent="0.25">
      <c r="A20" s="33" t="s">
        <v>19</v>
      </c>
      <c r="B20" s="61">
        <v>2</v>
      </c>
      <c r="C20" s="53">
        <v>2</v>
      </c>
      <c r="D20" s="52">
        <v>2</v>
      </c>
      <c r="E20" s="53">
        <v>2</v>
      </c>
      <c r="F20" s="134">
        <v>3</v>
      </c>
      <c r="G20" s="135"/>
      <c r="I20" s="33" t="s">
        <v>19</v>
      </c>
      <c r="J20" s="61">
        <v>1</v>
      </c>
      <c r="K20" s="53">
        <v>1</v>
      </c>
      <c r="L20" s="52">
        <v>1</v>
      </c>
      <c r="M20" s="53">
        <v>1</v>
      </c>
      <c r="N20" s="134">
        <v>3</v>
      </c>
      <c r="O20" s="135"/>
    </row>
    <row r="21" spans="1:15" x14ac:dyDescent="0.25">
      <c r="A21" s="33" t="s">
        <v>22</v>
      </c>
      <c r="B21" s="89">
        <f t="shared" ref="B21:G21" si="0">B19*B20</f>
        <v>16</v>
      </c>
      <c r="C21" s="90">
        <f t="shared" si="0"/>
        <v>16</v>
      </c>
      <c r="D21" s="91">
        <f t="shared" si="0"/>
        <v>16</v>
      </c>
      <c r="E21" s="90">
        <f t="shared" si="0"/>
        <v>16</v>
      </c>
      <c r="F21" s="132">
        <f>F19*F20</f>
        <v>24</v>
      </c>
      <c r="G21" s="133"/>
      <c r="I21" s="33" t="s">
        <v>22</v>
      </c>
      <c r="J21" s="89">
        <f t="shared" ref="J21:O21" si="1">J19*J20</f>
        <v>8</v>
      </c>
      <c r="K21" s="90">
        <f t="shared" si="1"/>
        <v>8</v>
      </c>
      <c r="L21" s="91">
        <f t="shared" si="1"/>
        <v>8</v>
      </c>
      <c r="M21" s="90">
        <f t="shared" si="1"/>
        <v>8</v>
      </c>
      <c r="N21" s="132">
        <f>N19*N20</f>
        <v>24</v>
      </c>
      <c r="O21" s="133"/>
    </row>
    <row r="22" spans="1:15" ht="15.75" thickBot="1" x14ac:dyDescent="0.3">
      <c r="A22" s="33" t="s">
        <v>60</v>
      </c>
      <c r="B22" s="89">
        <f>TCO!C8</f>
        <v>60</v>
      </c>
      <c r="C22" s="90">
        <f>TCO!C8</f>
        <v>60</v>
      </c>
      <c r="D22" s="91">
        <f>TCO!C9</f>
        <v>100</v>
      </c>
      <c r="E22" s="90">
        <f>TCO!C9</f>
        <v>100</v>
      </c>
      <c r="F22" s="136">
        <f>TCO!C10</f>
        <v>188</v>
      </c>
      <c r="G22" s="137"/>
      <c r="I22" s="33" t="s">
        <v>59</v>
      </c>
      <c r="J22" s="112">
        <f>TCO!C8</f>
        <v>60</v>
      </c>
      <c r="K22" s="93">
        <f>TCO!C8</f>
        <v>60</v>
      </c>
      <c r="L22" s="90">
        <f>TCO!C9</f>
        <v>100</v>
      </c>
      <c r="M22" s="93">
        <f>TCO!C9</f>
        <v>100</v>
      </c>
      <c r="N22" s="136">
        <f>TCO!C10</f>
        <v>188</v>
      </c>
      <c r="O22" s="137"/>
    </row>
    <row r="23" spans="1:15" ht="15.75" thickBot="1" x14ac:dyDescent="0.3">
      <c r="A23" s="49" t="s">
        <v>44</v>
      </c>
      <c r="B23" s="95">
        <f t="shared" ref="B23:G23" si="2">B22*B21</f>
        <v>960</v>
      </c>
      <c r="C23" s="96">
        <f t="shared" si="2"/>
        <v>960</v>
      </c>
      <c r="D23" s="97">
        <f t="shared" si="2"/>
        <v>1600</v>
      </c>
      <c r="E23" s="96">
        <f t="shared" si="2"/>
        <v>1600</v>
      </c>
      <c r="F23" s="138">
        <f>F22*F21</f>
        <v>4512</v>
      </c>
      <c r="G23" s="139"/>
      <c r="I23" s="49" t="s">
        <v>51</v>
      </c>
      <c r="J23" s="95">
        <f t="shared" ref="J23:O23" si="3">J22*J21</f>
        <v>480</v>
      </c>
      <c r="K23" s="97">
        <f t="shared" si="3"/>
        <v>480</v>
      </c>
      <c r="L23" s="97">
        <f t="shared" si="3"/>
        <v>800</v>
      </c>
      <c r="M23" s="97">
        <f t="shared" si="3"/>
        <v>800</v>
      </c>
      <c r="N23" s="148">
        <f>N22*N21</f>
        <v>4512</v>
      </c>
      <c r="O23" s="139"/>
    </row>
    <row r="24" spans="1:15" ht="21" customHeight="1" thickBot="1" x14ac:dyDescent="0.3">
      <c r="A24" s="22"/>
      <c r="B24" s="22"/>
      <c r="C24" s="22"/>
      <c r="D24" s="22"/>
      <c r="E24" s="22"/>
      <c r="F24" s="22"/>
      <c r="G24" s="22"/>
      <c r="I24" s="31"/>
      <c r="J24" s="31"/>
      <c r="K24" s="31"/>
      <c r="L24" s="31"/>
      <c r="M24" s="31"/>
      <c r="N24" s="31"/>
      <c r="O24" s="31"/>
    </row>
    <row r="25" spans="1:15" ht="18" customHeight="1" x14ac:dyDescent="0.25">
      <c r="A25" s="34" t="s">
        <v>45</v>
      </c>
      <c r="B25" s="34"/>
      <c r="C25" s="36"/>
      <c r="D25" s="35"/>
      <c r="E25" s="36"/>
      <c r="F25" s="35"/>
      <c r="G25" s="36"/>
      <c r="I25" s="34" t="s">
        <v>52</v>
      </c>
      <c r="J25" s="34"/>
      <c r="K25" s="36"/>
      <c r="L25" s="35"/>
      <c r="M25" s="36"/>
      <c r="N25" s="35"/>
      <c r="O25" s="36"/>
    </row>
    <row r="26" spans="1:15" x14ac:dyDescent="0.25">
      <c r="A26" s="33" t="s">
        <v>17</v>
      </c>
      <c r="B26" s="89">
        <v>8</v>
      </c>
      <c r="C26" s="90">
        <v>8</v>
      </c>
      <c r="D26" s="91">
        <v>8</v>
      </c>
      <c r="E26" s="90">
        <v>8</v>
      </c>
      <c r="F26" s="52"/>
      <c r="G26" s="37"/>
      <c r="I26" s="33" t="s">
        <v>17</v>
      </c>
      <c r="J26" s="89">
        <v>8</v>
      </c>
      <c r="K26" s="90">
        <v>8</v>
      </c>
      <c r="L26" s="91">
        <v>8</v>
      </c>
      <c r="M26" s="90">
        <v>8</v>
      </c>
      <c r="N26" s="52"/>
      <c r="O26" s="37"/>
    </row>
    <row r="27" spans="1:15" x14ac:dyDescent="0.25">
      <c r="A27" s="33" t="s">
        <v>18</v>
      </c>
      <c r="B27" s="61">
        <v>3</v>
      </c>
      <c r="C27" s="53">
        <v>2</v>
      </c>
      <c r="D27" s="52">
        <v>3</v>
      </c>
      <c r="E27" s="53">
        <v>2</v>
      </c>
      <c r="F27" s="52"/>
      <c r="G27" s="37"/>
      <c r="I27" s="33" t="s">
        <v>18</v>
      </c>
      <c r="J27" s="61">
        <v>2</v>
      </c>
      <c r="K27" s="53">
        <v>2</v>
      </c>
      <c r="L27" s="52">
        <v>2</v>
      </c>
      <c r="M27" s="53">
        <v>2</v>
      </c>
      <c r="N27" s="52"/>
      <c r="O27" s="37"/>
    </row>
    <row r="28" spans="1:15" x14ac:dyDescent="0.25">
      <c r="A28" s="33" t="s">
        <v>16</v>
      </c>
      <c r="B28" s="89">
        <f>B26*B27</f>
        <v>24</v>
      </c>
      <c r="C28" s="90">
        <f>C26*C27</f>
        <v>16</v>
      </c>
      <c r="D28" s="91">
        <f>D26*D27</f>
        <v>24</v>
      </c>
      <c r="E28" s="90">
        <f>E26*E27</f>
        <v>16</v>
      </c>
      <c r="F28" s="31"/>
      <c r="G28" s="37"/>
      <c r="I28" s="33" t="s">
        <v>16</v>
      </c>
      <c r="J28" s="89">
        <f>J26*J27</f>
        <v>16</v>
      </c>
      <c r="K28" s="90">
        <f>K26*K27</f>
        <v>16</v>
      </c>
      <c r="L28" s="91">
        <f>L26*L27</f>
        <v>16</v>
      </c>
      <c r="M28" s="90">
        <f>M26*M27</f>
        <v>16</v>
      </c>
      <c r="N28" s="31"/>
      <c r="O28" s="37"/>
    </row>
    <row r="29" spans="1:15" ht="15.75" thickBot="1" x14ac:dyDescent="0.3">
      <c r="A29" s="33" t="s">
        <v>59</v>
      </c>
      <c r="B29" s="89">
        <f>TCO!C8</f>
        <v>60</v>
      </c>
      <c r="C29" s="90">
        <f>TCO!C8</f>
        <v>60</v>
      </c>
      <c r="D29" s="91">
        <f>TCO!C9</f>
        <v>100</v>
      </c>
      <c r="E29" s="90">
        <f>TCO!C9</f>
        <v>100</v>
      </c>
      <c r="F29" s="31"/>
      <c r="G29" s="37"/>
      <c r="I29" s="33" t="s">
        <v>59</v>
      </c>
      <c r="J29" s="89">
        <f>TCO!C8</f>
        <v>60</v>
      </c>
      <c r="K29" s="93">
        <f>TCO!C8</f>
        <v>60</v>
      </c>
      <c r="L29" s="91">
        <f>TCO!C9</f>
        <v>100</v>
      </c>
      <c r="M29" s="93">
        <f>TCO!C9</f>
        <v>100</v>
      </c>
      <c r="N29" s="31"/>
      <c r="O29" s="37"/>
    </row>
    <row r="30" spans="1:15" ht="15.75" thickBot="1" x14ac:dyDescent="0.3">
      <c r="A30" s="49" t="s">
        <v>43</v>
      </c>
      <c r="B30" s="95">
        <f>B29*B28</f>
        <v>1440</v>
      </c>
      <c r="C30" s="96">
        <f>C29*C28</f>
        <v>960</v>
      </c>
      <c r="D30" s="97">
        <f>D29*D28</f>
        <v>2400</v>
      </c>
      <c r="E30" s="96">
        <f>E29*E28</f>
        <v>1600</v>
      </c>
      <c r="F30" s="50"/>
      <c r="G30" s="51"/>
      <c r="I30" s="49" t="s">
        <v>21</v>
      </c>
      <c r="J30" s="95">
        <f>J29*J28</f>
        <v>960</v>
      </c>
      <c r="K30" s="97">
        <f>K29*K28</f>
        <v>960</v>
      </c>
      <c r="L30" s="97">
        <f>L29*L28</f>
        <v>1600</v>
      </c>
      <c r="M30" s="97">
        <f>M29*M28</f>
        <v>1600</v>
      </c>
      <c r="N30" s="50"/>
      <c r="O30" s="51"/>
    </row>
    <row r="31" spans="1:15" x14ac:dyDescent="0.25">
      <c r="A31" s="22"/>
      <c r="B31" s="22"/>
      <c r="C31" s="22"/>
      <c r="D31" s="22"/>
      <c r="E31" s="22"/>
      <c r="F31" s="22"/>
      <c r="G31" s="22"/>
      <c r="I31" s="31"/>
      <c r="J31" s="31"/>
      <c r="K31" s="31"/>
      <c r="L31" s="31"/>
      <c r="M31" s="31"/>
      <c r="N31" s="31"/>
      <c r="O31" s="31"/>
    </row>
    <row r="32" spans="1:15" ht="15.75" thickBot="1" x14ac:dyDescent="0.3">
      <c r="A32" s="22"/>
      <c r="B32" s="22"/>
      <c r="C32" s="22"/>
      <c r="D32" s="22"/>
      <c r="E32" s="22"/>
      <c r="F32" s="22"/>
      <c r="G32" s="22"/>
      <c r="I32" s="31"/>
      <c r="J32" s="31"/>
      <c r="K32" s="31"/>
      <c r="L32" s="31"/>
      <c r="M32" s="31"/>
      <c r="N32" s="31"/>
      <c r="O32" s="31"/>
    </row>
    <row r="33" spans="1:16" ht="15.75" thickBot="1" x14ac:dyDescent="0.3">
      <c r="A33" s="34" t="s">
        <v>46</v>
      </c>
      <c r="B33" s="34"/>
      <c r="C33" s="36"/>
      <c r="D33" s="35"/>
      <c r="E33" s="36"/>
      <c r="F33" s="130"/>
      <c r="G33" s="131"/>
      <c r="H33" s="120"/>
      <c r="I33" s="34" t="s">
        <v>53</v>
      </c>
      <c r="J33" s="34"/>
      <c r="K33" s="36"/>
      <c r="L33" s="35"/>
      <c r="M33" s="36"/>
      <c r="N33" s="35"/>
      <c r="O33" s="36"/>
    </row>
    <row r="34" spans="1:16" x14ac:dyDescent="0.25">
      <c r="A34" s="33" t="s">
        <v>20</v>
      </c>
      <c r="B34" s="89">
        <v>8</v>
      </c>
      <c r="C34" s="90">
        <v>8</v>
      </c>
      <c r="D34" s="91">
        <v>8</v>
      </c>
      <c r="E34" s="90">
        <v>8</v>
      </c>
      <c r="F34" s="132">
        <v>8</v>
      </c>
      <c r="G34" s="133"/>
      <c r="I34" s="33" t="s">
        <v>20</v>
      </c>
      <c r="J34" s="89">
        <v>8</v>
      </c>
      <c r="K34" s="90">
        <v>8</v>
      </c>
      <c r="L34" s="91">
        <v>8</v>
      </c>
      <c r="M34" s="90">
        <v>8</v>
      </c>
      <c r="N34" s="132">
        <v>8</v>
      </c>
      <c r="O34" s="133"/>
    </row>
    <row r="35" spans="1:16" x14ac:dyDescent="0.25">
      <c r="A35" s="33" t="s">
        <v>19</v>
      </c>
      <c r="B35" s="61">
        <v>3</v>
      </c>
      <c r="C35" s="53">
        <v>1</v>
      </c>
      <c r="D35" s="52">
        <v>2</v>
      </c>
      <c r="E35" s="53">
        <v>1</v>
      </c>
      <c r="F35" s="134">
        <v>2</v>
      </c>
      <c r="G35" s="135"/>
      <c r="I35" s="33" t="s">
        <v>19</v>
      </c>
      <c r="J35" s="61">
        <v>3</v>
      </c>
      <c r="K35" s="53">
        <v>1</v>
      </c>
      <c r="L35" s="52">
        <v>2</v>
      </c>
      <c r="M35" s="53">
        <v>1</v>
      </c>
      <c r="N35" s="134">
        <v>2</v>
      </c>
      <c r="O35" s="135"/>
    </row>
    <row r="36" spans="1:16" x14ac:dyDescent="0.25">
      <c r="A36" s="33" t="s">
        <v>22</v>
      </c>
      <c r="B36" s="89">
        <f t="shared" ref="B36:G36" si="4">B34*B35</f>
        <v>24</v>
      </c>
      <c r="C36" s="90">
        <f t="shared" si="4"/>
        <v>8</v>
      </c>
      <c r="D36" s="91">
        <f t="shared" si="4"/>
        <v>16</v>
      </c>
      <c r="E36" s="90">
        <f t="shared" si="4"/>
        <v>8</v>
      </c>
      <c r="F36" s="132">
        <f>F34*F35</f>
        <v>16</v>
      </c>
      <c r="G36" s="133"/>
      <c r="I36" s="33" t="s">
        <v>22</v>
      </c>
      <c r="J36" s="89">
        <f t="shared" ref="J36:O36" si="5">J34*J35</f>
        <v>24</v>
      </c>
      <c r="K36" s="90">
        <f t="shared" si="5"/>
        <v>8</v>
      </c>
      <c r="L36" s="91">
        <f t="shared" si="5"/>
        <v>16</v>
      </c>
      <c r="M36" s="90">
        <f t="shared" si="5"/>
        <v>8</v>
      </c>
      <c r="N36" s="132">
        <f>N34*N35</f>
        <v>16</v>
      </c>
      <c r="O36" s="133"/>
    </row>
    <row r="37" spans="1:16" ht="15.75" thickBot="1" x14ac:dyDescent="0.3">
      <c r="A37" s="33" t="s">
        <v>59</v>
      </c>
      <c r="B37" s="89">
        <f>TCO!C8</f>
        <v>60</v>
      </c>
      <c r="C37" s="93">
        <f>TCO!C8</f>
        <v>60</v>
      </c>
      <c r="D37" s="92">
        <f>TCO!C9</f>
        <v>100</v>
      </c>
      <c r="E37" s="90">
        <f>TCO!C9</f>
        <v>100</v>
      </c>
      <c r="F37" s="136">
        <f>TCO!C10</f>
        <v>188</v>
      </c>
      <c r="G37" s="137"/>
      <c r="I37" s="33" t="s">
        <v>59</v>
      </c>
      <c r="J37" s="89">
        <f>TCO!C8</f>
        <v>60</v>
      </c>
      <c r="K37" s="93">
        <f>TCO!C8</f>
        <v>60</v>
      </c>
      <c r="L37" s="91">
        <f>TCO!C9</f>
        <v>100</v>
      </c>
      <c r="M37" s="93">
        <f>TCO!C9</f>
        <v>100</v>
      </c>
      <c r="N37" s="136">
        <f>TCO!C10</f>
        <v>188</v>
      </c>
      <c r="O37" s="137"/>
    </row>
    <row r="38" spans="1:16" ht="15.75" thickBot="1" x14ac:dyDescent="0.3">
      <c r="A38" s="49" t="s">
        <v>47</v>
      </c>
      <c r="B38" s="95">
        <f t="shared" ref="B38:G38" si="6">B37*B36</f>
        <v>1440</v>
      </c>
      <c r="C38" s="96">
        <f t="shared" si="6"/>
        <v>480</v>
      </c>
      <c r="D38" s="97">
        <f t="shared" si="6"/>
        <v>1600</v>
      </c>
      <c r="E38" s="96">
        <f t="shared" si="6"/>
        <v>800</v>
      </c>
      <c r="F38" s="138">
        <f>F37*F36</f>
        <v>3008</v>
      </c>
      <c r="G38" s="139"/>
      <c r="I38" s="49" t="s">
        <v>54</v>
      </c>
      <c r="J38" s="95">
        <f t="shared" ref="J38:O38" si="7">J37*J36</f>
        <v>1440</v>
      </c>
      <c r="K38" s="97">
        <f t="shared" si="7"/>
        <v>480</v>
      </c>
      <c r="L38" s="97">
        <f t="shared" si="7"/>
        <v>1600</v>
      </c>
      <c r="M38" s="97">
        <f t="shared" si="7"/>
        <v>800</v>
      </c>
      <c r="N38" s="148">
        <f>N37*N36</f>
        <v>3008</v>
      </c>
      <c r="O38" s="139"/>
    </row>
    <row r="39" spans="1:16" ht="20.25" customHeight="1" thickBot="1" x14ac:dyDescent="0.3">
      <c r="A39" s="4"/>
      <c r="B39" s="4"/>
      <c r="C39" s="4"/>
      <c r="D39" s="4"/>
      <c r="E39" s="4"/>
      <c r="F39" s="4"/>
      <c r="I39" s="4"/>
      <c r="J39" s="4"/>
      <c r="K39" s="4"/>
      <c r="L39" s="4"/>
      <c r="M39" s="4"/>
      <c r="N39" s="4"/>
    </row>
    <row r="40" spans="1:16" ht="20.25" customHeight="1" thickBot="1" x14ac:dyDescent="0.3">
      <c r="A40" s="58"/>
      <c r="B40" s="123" t="s">
        <v>39</v>
      </c>
      <c r="C40" s="124"/>
      <c r="D40" s="123" t="s">
        <v>77</v>
      </c>
      <c r="E40" s="124"/>
      <c r="F40" s="125" t="s">
        <v>41</v>
      </c>
      <c r="G40" s="124"/>
      <c r="I40" s="58"/>
      <c r="J40" s="123" t="s">
        <v>39</v>
      </c>
      <c r="K40" s="124"/>
      <c r="L40" s="123" t="s">
        <v>80</v>
      </c>
      <c r="M40" s="124"/>
      <c r="N40" s="123" t="s">
        <v>81</v>
      </c>
      <c r="O40" s="124"/>
    </row>
    <row r="41" spans="1:16" ht="20.25" customHeight="1" thickBot="1" x14ac:dyDescent="0.3">
      <c r="A41" s="58"/>
      <c r="B41" s="64" t="s">
        <v>75</v>
      </c>
      <c r="C41" s="64" t="s">
        <v>76</v>
      </c>
      <c r="D41" s="65" t="s">
        <v>75</v>
      </c>
      <c r="E41" s="64" t="s">
        <v>76</v>
      </c>
      <c r="F41" s="140"/>
      <c r="G41" s="141"/>
      <c r="I41" s="58"/>
      <c r="J41" s="64" t="s">
        <v>75</v>
      </c>
      <c r="K41" s="66" t="s">
        <v>76</v>
      </c>
      <c r="L41" s="64" t="s">
        <v>75</v>
      </c>
      <c r="M41" s="66" t="s">
        <v>76</v>
      </c>
      <c r="N41" s="123"/>
      <c r="O41" s="124"/>
    </row>
    <row r="42" spans="1:16" x14ac:dyDescent="0.25">
      <c r="A42" s="71" t="s">
        <v>48</v>
      </c>
      <c r="B42" s="98">
        <f>B16+B23+B30+B38</f>
        <v>20640</v>
      </c>
      <c r="C42" s="99">
        <f>C16+C23+C30+C38</f>
        <v>14400</v>
      </c>
      <c r="D42" s="98">
        <f>D16+D23+D30+D38</f>
        <v>33600</v>
      </c>
      <c r="E42" s="99">
        <f>E16+E23+E30+E38</f>
        <v>13600</v>
      </c>
      <c r="F42" s="144">
        <f>F23+F38</f>
        <v>7520</v>
      </c>
      <c r="G42" s="145"/>
      <c r="I42" s="71" t="s">
        <v>55</v>
      </c>
      <c r="J42" s="98">
        <f>J16+J23+J30+J38</f>
        <v>14880</v>
      </c>
      <c r="K42" s="99">
        <f>K16+K23+K30+K38</f>
        <v>10560</v>
      </c>
      <c r="L42" s="100">
        <f>L16+L23+L30+L38</f>
        <v>28000</v>
      </c>
      <c r="M42" s="99">
        <f>M16+M23+M30+M38</f>
        <v>12800</v>
      </c>
      <c r="N42" s="144">
        <f>N23+N38</f>
        <v>7520</v>
      </c>
      <c r="O42" s="145"/>
    </row>
    <row r="43" spans="1:16" ht="15.75" thickBot="1" x14ac:dyDescent="0.3">
      <c r="A43" s="71" t="s">
        <v>57</v>
      </c>
      <c r="B43" s="101">
        <f>B14+B21+B28+B36</f>
        <v>344</v>
      </c>
      <c r="C43" s="102">
        <f>C14+C21+C28+C36</f>
        <v>240</v>
      </c>
      <c r="D43" s="101">
        <f>D14+D21+D28+D36</f>
        <v>336</v>
      </c>
      <c r="E43" s="102">
        <f>E14+E21+E28+E36</f>
        <v>136</v>
      </c>
      <c r="F43" s="142">
        <f>F21+F36</f>
        <v>40</v>
      </c>
      <c r="G43" s="143"/>
      <c r="I43" s="71" t="s">
        <v>58</v>
      </c>
      <c r="J43" s="101">
        <f>J14+J21+J28+J36</f>
        <v>248</v>
      </c>
      <c r="K43" s="102">
        <f>K14+K21+K28+K36</f>
        <v>176</v>
      </c>
      <c r="L43" s="103">
        <f>L14+L21+L28+L36</f>
        <v>280</v>
      </c>
      <c r="M43" s="102">
        <f>M14+M21+M28+M36</f>
        <v>128</v>
      </c>
      <c r="N43" s="142">
        <f>N21+N36</f>
        <v>40</v>
      </c>
      <c r="O43" s="143"/>
    </row>
    <row r="44" spans="1:16" x14ac:dyDescent="0.25">
      <c r="A44" s="4"/>
      <c r="B44" s="4"/>
      <c r="C44" s="4"/>
      <c r="D44" s="4"/>
      <c r="E44" s="4"/>
      <c r="F44" s="4"/>
      <c r="I44" s="4"/>
      <c r="J44" s="4"/>
      <c r="K44" s="4"/>
      <c r="L44" s="4"/>
      <c r="M44" s="4"/>
      <c r="N44" s="4"/>
    </row>
    <row r="45" spans="1:16" x14ac:dyDescent="0.25">
      <c r="A45" s="4"/>
      <c r="B45" s="4"/>
      <c r="C45" s="4"/>
      <c r="D45" s="4"/>
      <c r="E45" s="4"/>
      <c r="F45" s="4"/>
      <c r="I45" s="33" t="s">
        <v>97</v>
      </c>
      <c r="J45" s="68">
        <f>TCO!L6</f>
        <v>6489</v>
      </c>
      <c r="K45" s="4"/>
      <c r="L45" s="4"/>
      <c r="M45" s="4"/>
      <c r="N45" s="4"/>
    </row>
    <row r="46" spans="1:16" x14ac:dyDescent="0.25">
      <c r="A46" s="4"/>
      <c r="B46" s="4"/>
      <c r="C46" s="4"/>
      <c r="D46" s="4"/>
      <c r="E46" s="4"/>
      <c r="F46" s="4"/>
      <c r="I46" s="4"/>
      <c r="J46" s="4"/>
      <c r="K46" s="4"/>
      <c r="L46" s="4"/>
      <c r="M46" s="4"/>
      <c r="N46" s="4"/>
    </row>
    <row r="47" spans="1:16" x14ac:dyDescent="0.25">
      <c r="A47" s="4"/>
      <c r="B47" s="127" t="s">
        <v>95</v>
      </c>
      <c r="C47" s="127"/>
      <c r="D47" s="127" t="s">
        <v>96</v>
      </c>
      <c r="E47" s="127"/>
      <c r="F47" s="4"/>
      <c r="I47" s="4"/>
      <c r="J47" s="127" t="s">
        <v>95</v>
      </c>
      <c r="K47" s="127"/>
      <c r="L47" s="127" t="s">
        <v>96</v>
      </c>
      <c r="M47" s="127"/>
      <c r="N47" s="4"/>
    </row>
    <row r="48" spans="1:16" x14ac:dyDescent="0.25">
      <c r="A48" s="48" t="s">
        <v>92</v>
      </c>
      <c r="B48" s="48"/>
      <c r="C48" s="104">
        <f>B42+D42</f>
        <v>54240</v>
      </c>
      <c r="D48" s="48"/>
      <c r="E48" s="104">
        <f>B42+D42+F42</f>
        <v>61760</v>
      </c>
      <c r="G48" s="57"/>
      <c r="I48" s="48" t="s">
        <v>118</v>
      </c>
      <c r="J48" s="48"/>
      <c r="K48" s="104">
        <f>J42+L42+J45</f>
        <v>49369</v>
      </c>
      <c r="L48" s="48"/>
      <c r="M48" s="104">
        <f>J42+L42+N42+J45</f>
        <v>56889</v>
      </c>
      <c r="O48" s="57"/>
      <c r="P48" s="57"/>
    </row>
    <row r="49" spans="1:17" x14ac:dyDescent="0.25">
      <c r="A49" s="48" t="s">
        <v>78</v>
      </c>
      <c r="B49" s="48"/>
      <c r="C49" s="48">
        <f>B43+D43</f>
        <v>680</v>
      </c>
      <c r="D49" s="48"/>
      <c r="E49" s="48">
        <f>B43+D43+F43</f>
        <v>720</v>
      </c>
      <c r="F49" s="57"/>
      <c r="I49" s="48" t="s">
        <v>78</v>
      </c>
      <c r="J49" s="48"/>
      <c r="K49" s="48">
        <f>J43+L43</f>
        <v>528</v>
      </c>
      <c r="L49" s="48"/>
      <c r="M49" s="48">
        <f>J43+L43+N43</f>
        <v>568</v>
      </c>
    </row>
    <row r="50" spans="1:17" x14ac:dyDescent="0.25">
      <c r="B50" s="4"/>
      <c r="D50" s="4"/>
      <c r="E50" s="4"/>
      <c r="K50" s="57"/>
      <c r="M50" s="57"/>
      <c r="Q50" s="1"/>
    </row>
    <row r="51" spans="1:17" x14ac:dyDescent="0.25">
      <c r="A51" s="48" t="s">
        <v>93</v>
      </c>
      <c r="B51" s="48"/>
      <c r="C51" s="104">
        <f>C42+E42</f>
        <v>28000</v>
      </c>
      <c r="D51" s="48"/>
      <c r="E51" s="104">
        <f>C42+E42+F42</f>
        <v>35520</v>
      </c>
      <c r="F51" s="4"/>
      <c r="G51" s="57"/>
      <c r="I51" s="48" t="s">
        <v>119</v>
      </c>
      <c r="J51" s="48"/>
      <c r="K51" s="104">
        <f>K42+M42+J45</f>
        <v>29849</v>
      </c>
      <c r="L51" s="48"/>
      <c r="M51" s="104">
        <f>K42+M42+N42+J45</f>
        <v>37369</v>
      </c>
      <c r="O51" s="57"/>
      <c r="P51" s="57"/>
    </row>
    <row r="52" spans="1:17" x14ac:dyDescent="0.25">
      <c r="A52" s="48" t="s">
        <v>79</v>
      </c>
      <c r="B52" s="48"/>
      <c r="C52" s="48">
        <f>C43+E43</f>
        <v>376</v>
      </c>
      <c r="D52" s="48"/>
      <c r="E52" s="48">
        <f>C43+E43+F43</f>
        <v>416</v>
      </c>
      <c r="F52" s="4"/>
      <c r="I52" s="48" t="s">
        <v>79</v>
      </c>
      <c r="J52" s="48"/>
      <c r="K52" s="48">
        <f>K43+M43</f>
        <v>304</v>
      </c>
      <c r="L52" s="48"/>
      <c r="M52" s="48">
        <f>K43+M43+N43</f>
        <v>344</v>
      </c>
    </row>
    <row r="53" spans="1:17" x14ac:dyDescent="0.25">
      <c r="A53" s="4"/>
      <c r="B53" s="4"/>
      <c r="C53" s="4"/>
      <c r="D53" s="4"/>
      <c r="E53" s="4"/>
      <c r="F53" s="4"/>
      <c r="K53" s="57"/>
      <c r="M53" s="57"/>
      <c r="O53" s="57"/>
    </row>
    <row r="54" spans="1:17" x14ac:dyDescent="0.25">
      <c r="A54" s="48" t="str">
        <f>"Totale kost over " &amp; TCO!B4 &amp; " jaar"</f>
        <v>Totale kost over 5 jaar</v>
      </c>
      <c r="B54" s="104">
        <f>C48+(C51*F6)</f>
        <v>166240</v>
      </c>
      <c r="C54" s="4"/>
      <c r="D54" s="4"/>
      <c r="E54" s="67"/>
      <c r="F54" s="4"/>
      <c r="G54" s="57"/>
      <c r="I54" s="48" t="str">
        <f>"Totale kost over " &amp; TCO!B4 &amp; " jaar"</f>
        <v>Totale kost over 5 jaar</v>
      </c>
      <c r="J54" s="104">
        <f>K48+(K51*F6)</f>
        <v>168765</v>
      </c>
      <c r="K54" s="57"/>
      <c r="L54" s="57"/>
      <c r="O54" s="57"/>
    </row>
    <row r="55" spans="1:17" x14ac:dyDescent="0.25">
      <c r="A55" s="4"/>
      <c r="B55" s="4"/>
      <c r="C55" s="4"/>
      <c r="D55" s="4"/>
      <c r="E55" s="4"/>
      <c r="F55" s="67"/>
      <c r="H55" s="57"/>
      <c r="O55" s="57"/>
    </row>
    <row r="56" spans="1:17" x14ac:dyDescent="0.25">
      <c r="A56" s="4"/>
      <c r="B56" s="4"/>
      <c r="C56" s="4"/>
      <c r="D56" s="4"/>
      <c r="E56" s="4"/>
      <c r="F56" s="4"/>
      <c r="J56" s="57"/>
      <c r="K56" s="57"/>
      <c r="O56" s="57"/>
    </row>
    <row r="57" spans="1:17" x14ac:dyDescent="0.25">
      <c r="C57" s="4"/>
      <c r="D57" s="4"/>
      <c r="E57" s="4"/>
      <c r="F57" s="4"/>
      <c r="P57" s="57"/>
    </row>
    <row r="58" spans="1:17" ht="15.75" x14ac:dyDescent="0.25">
      <c r="A58" s="44" t="s">
        <v>23</v>
      </c>
      <c r="B58" s="44"/>
      <c r="C58" s="44" t="s">
        <v>84</v>
      </c>
      <c r="D58" s="44" t="s">
        <v>85</v>
      </c>
      <c r="E58" s="44"/>
      <c r="F58" s="44"/>
      <c r="G58" s="44" t="s">
        <v>102</v>
      </c>
      <c r="I58" s="44" t="s">
        <v>73</v>
      </c>
      <c r="J58" s="44"/>
    </row>
    <row r="59" spans="1:17" x14ac:dyDescent="0.25">
      <c r="A59" s="55" t="s">
        <v>117</v>
      </c>
      <c r="B59" s="55"/>
      <c r="C59" s="31"/>
      <c r="D59" s="31"/>
      <c r="E59" s="31"/>
      <c r="F59" s="31"/>
      <c r="G59" s="31"/>
      <c r="I59" s="55" t="str">
        <f>"De investering zijn ROI is na " &amp; TCO!B4 &amp; " jaar:"</f>
        <v>De investering zijn ROI is na 5 jaar:</v>
      </c>
      <c r="J59" s="109">
        <f>G73</f>
        <v>-2.5183740505029766</v>
      </c>
    </row>
    <row r="60" spans="1:17" x14ac:dyDescent="0.25">
      <c r="A60" s="117" t="s">
        <v>82</v>
      </c>
      <c r="B60" s="31"/>
      <c r="C60" s="105">
        <f>C48</f>
        <v>54240</v>
      </c>
      <c r="D60" s="105">
        <f>K48</f>
        <v>49369</v>
      </c>
      <c r="E60" s="91"/>
      <c r="F60" s="105"/>
      <c r="G60" s="105">
        <f>C60-D60</f>
        <v>4871</v>
      </c>
      <c r="H60" s="57"/>
      <c r="I60" s="55" t="s">
        <v>63</v>
      </c>
      <c r="J60" s="110" t="str">
        <f>C78</f>
        <v>De investering kan niet terugverdiend worden binnen de voorziene gebruiksduur.</v>
      </c>
      <c r="N60" s="57"/>
    </row>
    <row r="61" spans="1:17" x14ac:dyDescent="0.25">
      <c r="A61" s="31" t="s">
        <v>83</v>
      </c>
      <c r="B61" s="31"/>
      <c r="C61" s="105">
        <f>C51</f>
        <v>28000</v>
      </c>
      <c r="D61" s="105">
        <f>K51</f>
        <v>29849</v>
      </c>
      <c r="E61" s="91"/>
      <c r="F61" s="105"/>
      <c r="G61" s="105">
        <f>C61-D61</f>
        <v>-1849</v>
      </c>
      <c r="H61" s="57"/>
      <c r="I61" s="55"/>
      <c r="J61" s="110"/>
    </row>
    <row r="62" spans="1:17" x14ac:dyDescent="0.25">
      <c r="A62" s="31"/>
      <c r="B62" s="31"/>
      <c r="C62" s="105"/>
      <c r="D62" s="105"/>
      <c r="E62" s="91"/>
      <c r="F62" s="105"/>
      <c r="G62" s="105"/>
      <c r="H62" s="57"/>
      <c r="I62" s="55"/>
      <c r="J62" s="110"/>
    </row>
    <row r="63" spans="1:17" x14ac:dyDescent="0.25">
      <c r="A63" s="55" t="s">
        <v>102</v>
      </c>
      <c r="B63" s="31"/>
      <c r="C63" s="105"/>
      <c r="D63" s="105"/>
      <c r="E63" s="91"/>
      <c r="F63" s="105"/>
      <c r="G63" s="105"/>
      <c r="H63" s="57"/>
      <c r="I63" s="55" t="s">
        <v>100</v>
      </c>
      <c r="J63" s="111">
        <f>G64</f>
        <v>-505</v>
      </c>
    </row>
    <row r="64" spans="1:17" ht="15.75" thickBot="1" x14ac:dyDescent="0.3">
      <c r="A64" s="117" t="str">
        <f>IF(G64&gt;=0, "Gemiddelde jaarlijkse besparing", "Gemiddelde jaarlijkse kost")</f>
        <v>Gemiddelde jaarlijkse kost</v>
      </c>
      <c r="B64" s="31"/>
      <c r="C64" s="105"/>
      <c r="D64" s="105"/>
      <c r="E64" s="91"/>
      <c r="F64" s="91"/>
      <c r="G64" s="105">
        <f>(G60+(G61*F6))/F5</f>
        <v>-505</v>
      </c>
      <c r="H64" s="57"/>
      <c r="I64" s="55" t="str">
        <f>"Uitbesparing over " &amp; TCO!B4 &amp; " jaar"</f>
        <v>Uitbesparing over 5 jaar</v>
      </c>
      <c r="J64" s="111">
        <f>G65</f>
        <v>-2525</v>
      </c>
    </row>
    <row r="65" spans="1:14" ht="15.75" thickBot="1" x14ac:dyDescent="0.3">
      <c r="A65" s="69" t="str">
        <f>IF(G65&gt;=0, "Besparing over " &amp; TCO!B4 &amp; " jaar", "Kost over " &amp; TCO!B4 &amp; " jaar")</f>
        <v>Kost over 5 jaar</v>
      </c>
      <c r="B65" s="32"/>
      <c r="C65" s="79"/>
      <c r="D65" s="79"/>
      <c r="E65" s="79"/>
      <c r="F65" s="79"/>
      <c r="G65" s="106">
        <f>G60+(G61*F6)</f>
        <v>-2525</v>
      </c>
      <c r="H65" s="57"/>
    </row>
    <row r="66" spans="1:14" x14ac:dyDescent="0.25">
      <c r="A66" s="31"/>
      <c r="B66" s="31"/>
      <c r="C66" s="91"/>
      <c r="D66" s="91"/>
      <c r="E66" s="91"/>
      <c r="F66" s="91"/>
      <c r="G66" s="91"/>
      <c r="H66" s="57"/>
    </row>
    <row r="67" spans="1:14" x14ac:dyDescent="0.25">
      <c r="A67" s="55" t="s">
        <v>61</v>
      </c>
      <c r="B67" s="55"/>
      <c r="C67" s="91"/>
      <c r="D67" s="91"/>
      <c r="E67" s="91"/>
      <c r="F67" s="91"/>
      <c r="G67" s="91"/>
      <c r="H67" s="57"/>
    </row>
    <row r="68" spans="1:14" x14ac:dyDescent="0.25">
      <c r="A68" s="31" t="s">
        <v>86</v>
      </c>
      <c r="B68" s="31"/>
      <c r="C68" s="91">
        <f>E49</f>
        <v>720</v>
      </c>
      <c r="D68" s="91">
        <f>M49</f>
        <v>568</v>
      </c>
      <c r="E68" s="91"/>
      <c r="F68" s="91"/>
      <c r="G68" s="91">
        <f>C68-D68</f>
        <v>152</v>
      </c>
      <c r="H68" s="57"/>
      <c r="I68" s="57"/>
    </row>
    <row r="69" spans="1:14" ht="15.75" thickBot="1" x14ac:dyDescent="0.3">
      <c r="A69" s="31" t="s">
        <v>87</v>
      </c>
      <c r="B69" s="31"/>
      <c r="C69" s="91">
        <f>E52</f>
        <v>416</v>
      </c>
      <c r="D69" s="91">
        <f>M52</f>
        <v>344</v>
      </c>
      <c r="E69" s="91"/>
      <c r="F69" s="91"/>
      <c r="G69" s="91">
        <f>C69-D69</f>
        <v>72</v>
      </c>
      <c r="I69" s="57"/>
      <c r="J69" s="57"/>
    </row>
    <row r="70" spans="1:14" ht="15.75" thickBot="1" x14ac:dyDescent="0.3">
      <c r="A70" s="69" t="str">
        <f>"Urenbesparing over " &amp; TCO!B4 &amp; " jaar"</f>
        <v>Urenbesparing over 5 jaar</v>
      </c>
      <c r="B70" s="32"/>
      <c r="C70" s="79"/>
      <c r="D70" s="79"/>
      <c r="E70" s="79"/>
      <c r="F70" s="79"/>
      <c r="G70" s="107">
        <f>G68+(G69*F6)</f>
        <v>440</v>
      </c>
    </row>
    <row r="71" spans="1:14" x14ac:dyDescent="0.25">
      <c r="A71" s="31"/>
      <c r="B71" s="31"/>
      <c r="C71" s="91"/>
      <c r="D71" s="91"/>
      <c r="E71" s="91"/>
      <c r="F71" s="91"/>
      <c r="G71" s="91"/>
      <c r="I71" s="57"/>
    </row>
    <row r="72" spans="1:14" ht="15.75" thickBot="1" x14ac:dyDescent="0.3">
      <c r="A72" s="55" t="s">
        <v>62</v>
      </c>
      <c r="B72" s="55"/>
      <c r="C72" s="91"/>
      <c r="D72" s="91"/>
      <c r="E72" s="91"/>
      <c r="F72" s="91"/>
      <c r="G72" s="91"/>
      <c r="J72" s="57"/>
    </row>
    <row r="73" spans="1:14" ht="16.149999999999999" customHeight="1" thickBot="1" x14ac:dyDescent="0.3">
      <c r="A73" s="69" t="str">
        <f>"ROI op " &amp; TCO!B4 &amp; " jaar"</f>
        <v>ROI op 5 jaar</v>
      </c>
      <c r="B73" s="32"/>
      <c r="C73" s="79"/>
      <c r="D73" s="79"/>
      <c r="E73" s="79"/>
      <c r="F73" s="79"/>
      <c r="G73" s="108">
        <f>(G61*F6 -ABS(G60))/ABS(G60)</f>
        <v>-2.5183740505029766</v>
      </c>
      <c r="M73" s="56"/>
      <c r="N73" s="56"/>
    </row>
    <row r="74" spans="1:14" x14ac:dyDescent="0.25">
      <c r="A74" s="31"/>
      <c r="B74" s="31"/>
      <c r="C74" s="91"/>
      <c r="D74" s="91"/>
      <c r="E74" s="91"/>
      <c r="F74" s="91"/>
      <c r="G74" s="91"/>
      <c r="K74" s="56"/>
      <c r="L74" s="56"/>
      <c r="M74" s="56"/>
      <c r="N74" s="56"/>
    </row>
    <row r="75" spans="1:14" ht="15.75" thickBot="1" x14ac:dyDescent="0.3">
      <c r="A75" s="55" t="s">
        <v>9</v>
      </c>
      <c r="B75" s="55"/>
      <c r="C75" s="91"/>
      <c r="D75" s="91"/>
      <c r="E75" s="91"/>
      <c r="F75" s="91"/>
      <c r="G75" s="91"/>
    </row>
    <row r="76" spans="1:14" ht="15.75" thickBot="1" x14ac:dyDescent="0.3">
      <c r="A76" s="69" t="s">
        <v>9</v>
      </c>
      <c r="B76" s="32"/>
      <c r="C76" s="79"/>
      <c r="D76" s="79"/>
      <c r="E76" s="79"/>
      <c r="F76" s="79"/>
      <c r="G76" s="119">
        <f>ABS(G60)/G61</f>
        <v>-2.6343969713358573</v>
      </c>
    </row>
    <row r="77" spans="1:14" ht="15.75" thickBot="1" x14ac:dyDescent="0.3">
      <c r="A77" s="31"/>
      <c r="B77" s="31"/>
      <c r="C77" s="91"/>
      <c r="D77" s="91"/>
      <c r="E77" s="91"/>
      <c r="F77" s="91"/>
      <c r="G77" s="91"/>
    </row>
    <row r="78" spans="1:14" ht="45.75" thickBot="1" x14ac:dyDescent="0.3">
      <c r="A78" s="70" t="s">
        <v>101</v>
      </c>
      <c r="B78" s="32"/>
      <c r="C78" s="79" t="str">
        <f>IF(G76&lt;0,
    "De investering kan niet terugverdiend worden binnen de voorziene gebruiksduur.",
    IF(ROUND((G76-TRUNC(G76))*12,0)=12,
        (TRUNC(G76)+1) &amp; " jaar en 0 maanden",
        TRUNC(G76) &amp; " jaar en " &amp; ROUND((G76-TRUNC(G76))*12,0) &amp; " maanden"
    )
)</f>
        <v>De investering kan niet terugverdiend worden binnen de voorziene gebruiksduur.</v>
      </c>
      <c r="D78" s="80"/>
      <c r="E78" s="79"/>
      <c r="F78" s="79"/>
      <c r="G78" s="107"/>
      <c r="K78" s="1"/>
      <c r="L78" s="1"/>
    </row>
    <row r="79" spans="1:14" ht="15.75" customHeight="1" x14ac:dyDescent="0.25">
      <c r="K79" s="1"/>
      <c r="L79" s="1"/>
    </row>
    <row r="80" spans="1:14" ht="18.75" customHeight="1" x14ac:dyDescent="0.25"/>
    <row r="81" spans="7:12" ht="33" customHeight="1" x14ac:dyDescent="0.25"/>
    <row r="82" spans="7:12" ht="28.5" customHeight="1" x14ac:dyDescent="0.25">
      <c r="K82" s="1"/>
      <c r="L82" s="1"/>
    </row>
    <row r="84" spans="7:12" x14ac:dyDescent="0.25">
      <c r="I84" s="57"/>
      <c r="J84" s="57"/>
      <c r="K84" s="57"/>
      <c r="L84" s="57"/>
    </row>
    <row r="85" spans="7:12" ht="27.75" customHeight="1" x14ac:dyDescent="0.25"/>
    <row r="87" spans="7:12" x14ac:dyDescent="0.25">
      <c r="K87" s="57"/>
      <c r="L87" s="57"/>
    </row>
    <row r="89" spans="7:12" ht="12" customHeight="1" x14ac:dyDescent="0.25"/>
    <row r="90" spans="7:12" x14ac:dyDescent="0.25">
      <c r="G90" s="57"/>
    </row>
    <row r="106" spans="7:7" x14ac:dyDescent="0.25">
      <c r="G106" s="1"/>
    </row>
    <row r="125" spans="8:10" x14ac:dyDescent="0.25">
      <c r="H125" s="3"/>
      <c r="I125" s="3"/>
      <c r="J125" s="3"/>
    </row>
  </sheetData>
  <mergeCells count="49">
    <mergeCell ref="N43:O43"/>
    <mergeCell ref="N41:O41"/>
    <mergeCell ref="N35:O35"/>
    <mergeCell ref="N36:O36"/>
    <mergeCell ref="N38:O38"/>
    <mergeCell ref="N37:O37"/>
    <mergeCell ref="N42:O42"/>
    <mergeCell ref="N20:O20"/>
    <mergeCell ref="N21:O21"/>
    <mergeCell ref="N22:O22"/>
    <mergeCell ref="N23:O23"/>
    <mergeCell ref="N34:O34"/>
    <mergeCell ref="F3:G3"/>
    <mergeCell ref="F6:G6"/>
    <mergeCell ref="F5:G5"/>
    <mergeCell ref="N10:O10"/>
    <mergeCell ref="N19:O19"/>
    <mergeCell ref="J47:K47"/>
    <mergeCell ref="L47:M47"/>
    <mergeCell ref="D47:E47"/>
    <mergeCell ref="B47:C47"/>
    <mergeCell ref="J9:K9"/>
    <mergeCell ref="L9:M9"/>
    <mergeCell ref="D40:E40"/>
    <mergeCell ref="B40:C40"/>
    <mergeCell ref="B9:C9"/>
    <mergeCell ref="D9:E9"/>
    <mergeCell ref="F42:G42"/>
    <mergeCell ref="F43:G43"/>
    <mergeCell ref="F41:G41"/>
    <mergeCell ref="F38:G38"/>
    <mergeCell ref="F37:G37"/>
    <mergeCell ref="F36:G36"/>
    <mergeCell ref="N9:O9"/>
    <mergeCell ref="L40:M40"/>
    <mergeCell ref="J40:K40"/>
    <mergeCell ref="N40:O40"/>
    <mergeCell ref="F40:G40"/>
    <mergeCell ref="F9:G9"/>
    <mergeCell ref="F35:G35"/>
    <mergeCell ref="F34:G34"/>
    <mergeCell ref="F33:G33"/>
    <mergeCell ref="F23:G23"/>
    <mergeCell ref="F22:G22"/>
    <mergeCell ref="F21:G21"/>
    <mergeCell ref="F20:G20"/>
    <mergeCell ref="F19:G19"/>
    <mergeCell ref="F18:G18"/>
    <mergeCell ref="F10:G10"/>
  </mergeCells>
  <pageMargins left="0.7" right="0.7" top="0.75" bottom="0.75" header="0.3" footer="0.3"/>
  <pageSetup paperSize="9"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9904C-54DE-4480-A123-DFD91E04C31D}">
  <dimension ref="A1:H12"/>
  <sheetViews>
    <sheetView workbookViewId="0">
      <selection activeCell="G17" sqref="G17"/>
    </sheetView>
  </sheetViews>
  <sheetFormatPr defaultRowHeight="15" x14ac:dyDescent="0.25"/>
  <cols>
    <col min="1" max="2" width="25.42578125" bestFit="1" customWidth="1"/>
    <col min="3" max="3" width="10.42578125" bestFit="1" customWidth="1"/>
    <col min="4" max="4" width="11.85546875" bestFit="1" customWidth="1"/>
    <col min="5" max="5" width="11.42578125" bestFit="1" customWidth="1"/>
    <col min="7" max="7" width="32.85546875" bestFit="1" customWidth="1"/>
    <col min="8" max="8" width="73" bestFit="1" customWidth="1"/>
    <col min="9" max="9" width="29.28515625" bestFit="1" customWidth="1"/>
    <col min="10" max="10" width="17.5703125" bestFit="1" customWidth="1"/>
  </cols>
  <sheetData>
    <row r="1" spans="1:8" ht="24" x14ac:dyDescent="0.4">
      <c r="A1" s="17" t="s">
        <v>109</v>
      </c>
    </row>
    <row r="4" spans="1:8" ht="18.75" x14ac:dyDescent="0.3">
      <c r="A4" s="72" t="s">
        <v>8</v>
      </c>
      <c r="G4" s="72" t="s">
        <v>62</v>
      </c>
    </row>
    <row r="6" spans="1:8" ht="15.75" x14ac:dyDescent="0.25">
      <c r="A6" s="44" t="s">
        <v>65</v>
      </c>
      <c r="B6" s="113">
        <f>TCO!J5</f>
        <v>0.3</v>
      </c>
      <c r="C6" s="114"/>
      <c r="D6" s="114">
        <f>B6</f>
        <v>0.3</v>
      </c>
      <c r="G6" s="44" t="s">
        <v>73</v>
      </c>
      <c r="H6" s="44"/>
    </row>
    <row r="7" spans="1:8" x14ac:dyDescent="0.25">
      <c r="A7" s="29" t="s">
        <v>66</v>
      </c>
      <c r="B7" s="86">
        <f>TCO!J6</f>
        <v>2781</v>
      </c>
      <c r="C7" s="19"/>
      <c r="D7" s="86">
        <f>TCO!L6</f>
        <v>6489</v>
      </c>
      <c r="G7" s="31" t="str">
        <f>ROI!I59</f>
        <v>De investering zijn ROI is na 5 jaar:</v>
      </c>
      <c r="H7" s="115">
        <f>ROI!J59</f>
        <v>-2.5183740505029766</v>
      </c>
    </row>
    <row r="8" spans="1:8" x14ac:dyDescent="0.25">
      <c r="A8" s="18" t="str">
        <f>TCO!I7</f>
        <v>Korting over 5 jaar</v>
      </c>
      <c r="B8" s="87">
        <f>TCO!J7</f>
        <v>13905</v>
      </c>
      <c r="C8" s="19"/>
      <c r="D8" s="87">
        <f>TCO!L7</f>
        <v>32445</v>
      </c>
      <c r="G8" s="55" t="s">
        <v>63</v>
      </c>
      <c r="H8" s="118" t="str">
        <f>ROI!C78</f>
        <v>De investering kan niet terugverdiend worden binnen de voorziene gebruiksduur.</v>
      </c>
    </row>
    <row r="9" spans="1:8" x14ac:dyDescent="0.25">
      <c r="A9" s="18"/>
      <c r="B9" s="87"/>
      <c r="C9" s="19"/>
      <c r="D9" s="87"/>
      <c r="G9" s="31"/>
      <c r="H9" s="91"/>
    </row>
    <row r="10" spans="1:8" x14ac:dyDescent="0.25">
      <c r="A10" s="54" t="s">
        <v>14</v>
      </c>
      <c r="B10" s="88"/>
      <c r="C10" s="48"/>
      <c r="D10" s="88">
        <f>TCO!L9</f>
        <v>168765</v>
      </c>
      <c r="G10" s="31" t="str">
        <f>IF(H10&gt;=0, "Uitbesparing per jaar", "Extra kost per jaar")</f>
        <v>Extra kost per jaar</v>
      </c>
      <c r="H10" s="105">
        <f>ROI!J63</f>
        <v>-505</v>
      </c>
    </row>
    <row r="11" spans="1:8" x14ac:dyDescent="0.25">
      <c r="A11" s="54" t="s">
        <v>74</v>
      </c>
      <c r="B11" s="88"/>
      <c r="C11" s="48"/>
      <c r="D11" s="88">
        <f>TCO!L10</f>
        <v>49369</v>
      </c>
      <c r="G11" s="31" t="str">
        <f>IF(H11&gt;=0, "Uitbesparing over " &amp; TCO!B4 &amp; " jaar", "Extra kost over " &amp; TCO!B4 &amp; " jaar")</f>
        <v>Extra kost over 5 jaar</v>
      </c>
      <c r="H11" s="105">
        <f>ROI!J64</f>
        <v>-2525</v>
      </c>
    </row>
    <row r="12" spans="1:8" x14ac:dyDescent="0.25">
      <c r="A12" s="54" t="s">
        <v>94</v>
      </c>
      <c r="B12" s="88"/>
      <c r="C12" s="48"/>
      <c r="D12" s="88">
        <f>TCO!L11</f>
        <v>29849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FBD1C-1FD4-492F-A34F-D2970357E991}">
  <dimension ref="A1"/>
  <sheetViews>
    <sheetView zoomScale="89" workbookViewId="0">
      <selection activeCell="L13" sqref="L13"/>
    </sheetView>
  </sheetViews>
  <sheetFormatPr defaultRowHeight="15" x14ac:dyDescent="0.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5</vt:i4>
      </vt:variant>
    </vt:vector>
  </HeadingPairs>
  <TitlesOfParts>
    <vt:vector size="5" baseType="lpstr">
      <vt:lpstr>Gebruikershandleiding</vt:lpstr>
      <vt:lpstr>TCO</vt:lpstr>
      <vt:lpstr>ROI</vt:lpstr>
      <vt:lpstr>Conclusie</vt:lpstr>
      <vt:lpstr>Auditdagen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Nalani Van Beemen</dc:creator>
  <cp:lastModifiedBy>Nalani Van Beemen</cp:lastModifiedBy>
  <dcterms:created xsi:type="dcterms:W3CDTF">2025-04-28T08:40:27Z</dcterms:created>
  <dcterms:modified xsi:type="dcterms:W3CDTF">2025-06-11T14:28:51Z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337be75-dfbb-4261-9834-ac247c7dde13_Enabled">
    <vt:lpwstr>true</vt:lpwstr>
  </property>
  <property fmtid="{D5CDD505-2E9C-101B-9397-08002B2CF9AE}" pid="3" name="MSIP_Label_c337be75-dfbb-4261-9834-ac247c7dde13_SetDate">
    <vt:lpwstr>2025-04-28T09:26:36Z</vt:lpwstr>
  </property>
  <property fmtid="{D5CDD505-2E9C-101B-9397-08002B2CF9AE}" pid="4" name="MSIP_Label_c337be75-dfbb-4261-9834-ac247c7dde13_Method">
    <vt:lpwstr>Standard</vt:lpwstr>
  </property>
  <property fmtid="{D5CDD505-2E9C-101B-9397-08002B2CF9AE}" pid="5" name="MSIP_Label_c337be75-dfbb-4261-9834-ac247c7dde13_Name">
    <vt:lpwstr>Algemeen</vt:lpwstr>
  </property>
  <property fmtid="{D5CDD505-2E9C-101B-9397-08002B2CF9AE}" pid="6" name="MSIP_Label_c337be75-dfbb-4261-9834-ac247c7dde13_SiteId">
    <vt:lpwstr>77d33cc5-c9b4-4766-95c7-ed5b515e1cce</vt:lpwstr>
  </property>
  <property fmtid="{D5CDD505-2E9C-101B-9397-08002B2CF9AE}" pid="7" name="MSIP_Label_c337be75-dfbb-4261-9834-ac247c7dde13_ActionId">
    <vt:lpwstr>eee33dd7-c98a-4ed2-a5cc-26f4245dcf8e</vt:lpwstr>
  </property>
  <property fmtid="{D5CDD505-2E9C-101B-9397-08002B2CF9AE}" pid="8" name="MSIP_Label_c337be75-dfbb-4261-9834-ac247c7dde13_ContentBits">
    <vt:lpwstr>0</vt:lpwstr>
  </property>
  <property fmtid="{D5CDD505-2E9C-101B-9397-08002B2CF9AE}" pid="9" name="MSIP_Label_c337be75-dfbb-4261-9834-ac247c7dde13_Tag">
    <vt:lpwstr>10, 3, 0, 1</vt:lpwstr>
  </property>
</Properties>
</file>